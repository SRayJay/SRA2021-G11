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0" windowHeight="11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<sst xmlns="http://schemas.openxmlformats.org/spreadsheetml/2006/main" count="248" uniqueCount="248">
  <si>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</si>
  <si>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</si>
  <si>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</si>
  <si>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</si>
  <si>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</si>
  <si>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</si>
  <si>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相对收益权重为2  相对损失权重为1  相对成本权重为1  相对风险权重为0.5</t>
  </si>
  <si>
    <t>SRA20201-G11-QFD-需求打分结果</t>
  </si>
  <si>
    <t>编号</t>
  </si>
  <si>
    <t>描述</t>
  </si>
  <si>
    <t>相对收益</t>
  </si>
  <si>
    <t>相对损失</t>
  </si>
  <si>
    <t>相对成本</t>
  </si>
  <si>
    <t>相对风险</t>
  </si>
  <si>
    <t>优先级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</si>
  <si>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</si>
  <si>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</si>
  <si>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</si>
  <si>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</si>
  <si>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</si>
  <si>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</si>
  <si>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</si>
  <si>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</si>
  <si>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</si>
  <si>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</si>
  <si>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</si>
  <si>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</si>
  <si>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</si>
  <si>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</si>
  <si>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</si>
  <si>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</si>
  <si>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</si>
  <si>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</si>
  <si>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</si>
  <si>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</si>
  <si>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</si>
  <si>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</si>
  <si>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</si>
  <si>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</si>
  <si>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</si>
  <si>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</si>
  <si>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</si>
  <si>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</si>
  <si>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</si>
  <si>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</si>
  <si>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</si>
  <si>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</si>
  <si>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</si>
  <si>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</si>
  <si>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</si>
  <si>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</si>
  <si>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1.1.5</t>
  </si>
  <si>
    <t>定位自身位置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</si>
  <si>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</si>
  <si>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</si>
  <si>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</si>
  <si>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</si>
  <si>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</si>
  <si>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</si>
  <si>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</si>
  <si>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</si>
  <si>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</si>
  <si>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</si>
  <si>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</si>
  <si>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</si>
  <si>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</si>
  <si>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</si>
  <si>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</si>
  <si>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</si>
  <si>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</si>
  <si>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</si>
  <si>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</si>
  <si>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</si>
  <si>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</si>
  <si>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</si>
  <si>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</si>
  <si>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</si>
  <si>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</si>
  <si>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</si>
  <si>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</si>
  <si>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</si>
  <si>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</si>
  <si>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</si>
  <si>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</si>
  <si>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</si>
  <si>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</si>
  <si>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</si>
  <si>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</si>
  <si>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</si>
  <si>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</si>
  <si>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</si>
  <si>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</si>
  <si>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</si>
  <si>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</si>
  <si>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</si>
  <si>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</si>
  <si>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</si>
  <si>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</si>
  <si>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</si>
  <si>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</si>
  <si>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</si>
  <si>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</si>
  <si>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</si>
  <si>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</si>
  <si>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</si>
  <si>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</si>
  <si>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</si>
  <si>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</si>
  <si>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</si>
  <si>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</si>
  <si>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</si>
  <si>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</si>
  <si>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</si>
  <si>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</si>
  <si>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</si>
  <si>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</si>
  <si>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</si>
  <si>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</si>
  <si>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</si>
  <si>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</si>
  <si>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</si>
  <si>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</si>
  <si>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</si>
  <si>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</si>
  <si>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</si>
  <si>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</si>
  <si>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</si>
  <si>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</si>
  <si>
    <t>渔乐生活管理员WEB</t>
  </si>
  <si>
    <t xml:space="preserve">     用户管理</t>
  </si>
  <si>
    <t>2.1.1</t>
  </si>
  <si>
    <t xml:space="preserve">         按用户名筛选用户</t>
  </si>
  <si>
    <t>2.1.2</t>
  </si>
  <si>
    <t xml:space="preserve">         按用户状态筛选用户</t>
  </si>
  <si>
    <t>2.1.3</t>
  </si>
  <si>
    <t xml:space="preserve">         按地区筛选用户</t>
  </si>
  <si>
    <t>2.1.4</t>
  </si>
  <si>
    <t xml:space="preserve">         用户状态审核</t>
  </si>
  <si>
    <t>2.1.5</t>
  </si>
  <si>
    <t xml:space="preserve">         用户管理操作日志</t>
  </si>
  <si>
    <t>2.1.6</t>
  </si>
  <si>
    <t xml:space="preserve">         查看用户具体信息</t>
  </si>
  <si>
    <t>2.1.7</t>
  </si>
  <si>
    <t xml:space="preserve">         撤销用户管理操作</t>
  </si>
  <si>
    <t xml:space="preserve">     钓点管理</t>
  </si>
  <si>
    <t>2.2.1</t>
  </si>
  <si>
    <t xml:space="preserve">         按钓点名筛选钓点</t>
  </si>
  <si>
    <t>2.2.2</t>
  </si>
  <si>
    <t xml:space="preserve">         按钓点地区筛选钓点</t>
  </si>
  <si>
    <t>2.2.3</t>
  </si>
  <si>
    <t xml:space="preserve">         按钓点状态筛选钓点</t>
  </si>
  <si>
    <t>2.2.4</t>
  </si>
  <si>
    <t xml:space="preserve">         钓点状态审核</t>
  </si>
  <si>
    <t>2.2.5</t>
  </si>
  <si>
    <t xml:space="preserve">         新增钓点</t>
  </si>
  <si>
    <t>2.2.6</t>
  </si>
  <si>
    <t xml:space="preserve">         钓点管理操作日志</t>
  </si>
  <si>
    <t>2.2.7</t>
  </si>
  <si>
    <t xml:space="preserve">         查看钓点详细信息</t>
  </si>
  <si>
    <t>2.2.8</t>
  </si>
  <si>
    <t xml:space="preserve">         插销钓点管理操作</t>
  </si>
  <si>
    <t>2.2.9</t>
  </si>
  <si>
    <t xml:space="preserve">         查看钓点相关约钓</t>
  </si>
  <si>
    <t>2.2.10</t>
  </si>
  <si>
    <t xml:space="preserve">         查看钓点相关帖子</t>
  </si>
  <si>
    <t>2.2.11</t>
  </si>
  <si>
    <t xml:space="preserve">         钓点相关约钓管理</t>
  </si>
  <si>
    <t>2.2.12</t>
  </si>
  <si>
    <t xml:space="preserve">         钓点帖子管理</t>
  </si>
  <si>
    <t xml:space="preserve">    动态管理</t>
  </si>
  <si>
    <t>2.3.1</t>
  </si>
  <si>
    <t xml:space="preserve">         按用户名筛选动态</t>
  </si>
  <si>
    <t>2.3.2</t>
  </si>
  <si>
    <t xml:space="preserve">         按动态状态筛选动态</t>
  </si>
  <si>
    <t>2.3.3</t>
  </si>
  <si>
    <t xml:space="preserve">         查看动态详情</t>
  </si>
  <si>
    <t>2.3.4</t>
  </si>
  <si>
    <t xml:space="preserve">         动态状态审核</t>
  </si>
  <si>
    <t>2.3.5</t>
  </si>
  <si>
    <t xml:space="preserve">         动态管理操作日志</t>
  </si>
  <si>
    <t>2.3.6</t>
  </si>
  <si>
    <t xml:space="preserve">         撤销动态管理操作</t>
  </si>
  <si>
    <t xml:space="preserve">   帖子管理</t>
  </si>
  <si>
    <t>2.4.1</t>
  </si>
  <si>
    <t xml:space="preserve">         按关键词筛选帖子</t>
  </si>
  <si>
    <t>2.4.2</t>
  </si>
  <si>
    <t xml:space="preserve">         按帖子状态筛选帖子</t>
  </si>
  <si>
    <t>2.4.3</t>
  </si>
  <si>
    <t xml:space="preserve">         查看帖子详情</t>
  </si>
  <si>
    <t>2.4.4</t>
  </si>
  <si>
    <t xml:space="preserve">         帖子状态审核</t>
  </si>
  <si>
    <t>2.4.5</t>
  </si>
  <si>
    <t xml:space="preserve">         帖子管理操作日志</t>
  </si>
  <si>
    <t>2.4.6</t>
  </si>
  <si>
    <t xml:space="preserve">         撤销帖子管理操作</t>
  </si>
  <si>
    <t xml:space="preserve">    约钓管理</t>
  </si>
  <si>
    <t>2.5.1</t>
  </si>
  <si>
    <t xml:space="preserve">          按钓点名筛选约钓</t>
  </si>
  <si>
    <t>2.5.2</t>
  </si>
  <si>
    <t xml:space="preserve">          按约钓进程筛选约钓</t>
  </si>
  <si>
    <t>2.5.3</t>
  </si>
  <si>
    <t xml:space="preserve">          查看约钓详情</t>
  </si>
  <si>
    <t>2.5.4</t>
  </si>
  <si>
    <t xml:space="preserve">          约钓审核</t>
  </si>
  <si>
    <t>2.5.5</t>
  </si>
  <si>
    <t xml:space="preserve">          约钓管理操作日志</t>
  </si>
  <si>
    <t>2.5.6</t>
  </si>
  <si>
    <t xml:space="preserve">          撤销约钓管理操作</t>
  </si>
  <si>
    <t xml:space="preserve">    渔具店管理</t>
  </si>
  <si>
    <t>2.6.1</t>
  </si>
  <si>
    <t xml:space="preserve">          按关键词筛选渔具店</t>
  </si>
  <si>
    <t>2.6.2</t>
  </si>
  <si>
    <t xml:space="preserve">          按地区筛选渔具店</t>
  </si>
  <si>
    <t>2.6.3</t>
  </si>
  <si>
    <t xml:space="preserve">          按状态筛选渔具店</t>
  </si>
  <si>
    <t>2.6.4</t>
  </si>
  <si>
    <t xml:space="preserve">          查看渔具店详情</t>
  </si>
  <si>
    <t>2.6.5</t>
  </si>
  <si>
    <t xml:space="preserve">          渔具店审核</t>
  </si>
  <si>
    <t>2.6.6</t>
  </si>
  <si>
    <t xml:space="preserve">          渔具店管理操作日志</t>
  </si>
  <si>
    <t>2.6.7</t>
  </si>
  <si>
    <t xml:space="preserve">          撤销渔具店管理操作</t>
  </si>
  <si>
    <t>2.6.8</t>
  </si>
  <si>
    <t xml:space="preserve">          新增渔具店</t>
  </si>
  <si>
    <t xml:space="preserve">    信息中心</t>
  </si>
  <si>
    <t>2.7.1</t>
  </si>
  <si>
    <t xml:space="preserve">          查看APP相关数据</t>
  </si>
  <si>
    <t>2.7.2</t>
  </si>
  <si>
    <t xml:space="preserve">          查看更多系统通知</t>
  </si>
  <si>
    <t>2.7.3</t>
  </si>
  <si>
    <t xml:space="preserve">          查看待办事项</t>
  </si>
  <si>
    <t>2.7.4</t>
  </si>
  <si>
    <t xml:space="preserve">          通过待办事项</t>
  </si>
  <si>
    <t>2.7.5</t>
  </si>
  <si>
    <t xml:space="preserve">          驳回待办事项</t>
  </si>
  <si>
    <t>2.7.6</t>
  </si>
  <si>
    <t xml:space="preserve">          按关键词搜索待办事项</t>
  </si>
  <si>
    <t>2.7.7</t>
  </si>
  <si>
    <t xml:space="preserve">          按类型搜索待办事项</t>
  </si>
  <si>
    <t>2.7.8</t>
  </si>
  <si>
    <t xml:space="preserve">          查看已办事项</t>
  </si>
  <si>
    <t>2.7.9</t>
  </si>
  <si>
    <t xml:space="preserve">          撤销已办事项</t>
  </si>
  <si>
    <t>2.7.10</t>
  </si>
  <si>
    <t xml:space="preserve">          按关键词搜索已办事项</t>
  </si>
  <si>
    <t>2.7.11</t>
  </si>
  <si>
    <t xml:space="preserve">          按类型搜索已办事项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</si>
</sst>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4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6" borderId="22" applyNumberFormat="0" applyAlignment="0" applyProtection="0">
      <alignment vertical="center"/>
    </xf>
    <xf numFmtId="0" fontId="20" fillId="16" borderId="18" applyNumberFormat="0" applyAlignment="0" applyProtection="0">
      <alignment vertical="center"/>
    </xf>
    <xf numFmtId="0" fontId="22" fillId="21" borderId="24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indent="2"/>
    </xf>
    <xf numFmtId="0" fontId="5" fillId="0" borderId="13" xfId="0" applyFont="1" applyBorder="1" applyAlignment="1">
      <alignment horizontal="left" vertical="center" indent="2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5" fillId="0" borderId="12" xfId="0" applyFont="1" applyBorder="1" applyAlignment="1">
      <alignment horizontal="left" vertical="center" indent="2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 indent="3"/>
    </xf>
    <xf numFmtId="0" fontId="4" fillId="2" borderId="17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1"/>
  <sheetViews>
    <sheetView showGridLines="0" tabSelected="1" zoomScale="85" zoomScaleNormal="85" workbookViewId="0">
      <selection activeCell="P72" sqref="P72:Q72"/>
    </sheetView>
  </sheetViews>
  <sheetFormatPr defaultColWidth="9" defaultRowHeight="14"/>
  <cols>
    <col min="1" max="6" width="9" style="2"/>
    <col min="7" max="7" width="8.89090909090909" style="2" customWidth="1"/>
    <col min="8" max="8" width="2.44545454545455" style="2" hidden="1" customWidth="1"/>
    <col min="9" max="11" width="9" style="2" hidden="1" customWidth="1"/>
    <col min="12" max="16384" width="9" style="2"/>
  </cols>
  <sheetData>
    <row r="1" ht="14.75"/>
    <row r="2" ht="23.75" spans="2:1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3"/>
    </row>
    <row r="3" spans="2:14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4"/>
    </row>
    <row r="4" spans="2:14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4"/>
    </row>
    <row r="5" spans="2:14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4"/>
    </row>
    <row r="6" spans="2:14">
      <c r="B6" s="7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34"/>
    </row>
    <row r="7" spans="2:14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34"/>
    </row>
    <row r="8" spans="2:14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4"/>
    </row>
    <row r="9" spans="2:14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4"/>
    </row>
    <row r="10" spans="2:14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4"/>
    </row>
    <row r="11" spans="2:14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4"/>
    </row>
    <row r="12" spans="2:14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4"/>
    </row>
    <row r="13" ht="14.75" spans="2:14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35"/>
    </row>
    <row r="14" ht="14.75"/>
    <row r="15" ht="14.75"/>
    <row r="16" spans="1:21">
      <c r="A16" s="10" t="s">
        <v>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45"/>
    </row>
    <row r="17" ht="14.75" spans="1:21">
      <c r="A17" s="12" t="s">
        <v>8</v>
      </c>
      <c r="B17" s="13"/>
      <c r="C17" s="14" t="s">
        <v>9</v>
      </c>
      <c r="D17" s="14"/>
      <c r="E17" s="14"/>
      <c r="F17" s="14"/>
      <c r="G17" s="14"/>
      <c r="H17" s="14"/>
      <c r="I17" s="14"/>
      <c r="J17" s="14"/>
      <c r="K17" s="13"/>
      <c r="L17" s="14" t="s">
        <v>10</v>
      </c>
      <c r="M17" s="13"/>
      <c r="N17" s="14" t="s">
        <v>11</v>
      </c>
      <c r="O17" s="13"/>
      <c r="P17" s="14" t="s">
        <v>12</v>
      </c>
      <c r="Q17" s="13"/>
      <c r="R17" s="14" t="s">
        <v>13</v>
      </c>
      <c r="S17" s="13"/>
      <c r="T17" s="14" t="s">
        <v>14</v>
      </c>
      <c r="U17" s="13"/>
    </row>
    <row r="18" spans="1:21">
      <c r="A18" s="15">
        <v>1</v>
      </c>
      <c r="B18" s="16"/>
      <c r="C18" s="15" t="s">
        <v>15</v>
      </c>
      <c r="D18" s="17"/>
      <c r="E18" s="17"/>
      <c r="F18" s="17"/>
      <c r="G18" s="17"/>
      <c r="H18" s="17"/>
      <c r="I18" s="17"/>
      <c r="J18" s="17"/>
      <c r="K18" s="16"/>
      <c r="L18" s="36"/>
      <c r="M18" s="37"/>
      <c r="N18" s="36"/>
      <c r="O18" s="37"/>
      <c r="P18" s="36"/>
      <c r="Q18" s="37"/>
      <c r="R18" s="36"/>
      <c r="S18" s="37"/>
      <c r="T18" s="36"/>
      <c r="U18" s="37"/>
    </row>
    <row r="19" spans="1:21">
      <c r="A19" s="15">
        <v>1.1</v>
      </c>
      <c r="B19" s="16"/>
      <c r="C19" s="18" t="s">
        <v>16</v>
      </c>
      <c r="D19" s="19"/>
      <c r="E19" s="19"/>
      <c r="F19" s="19"/>
      <c r="G19" s="19"/>
      <c r="H19" s="19"/>
      <c r="I19" s="19"/>
      <c r="J19" s="19"/>
      <c r="K19" s="38"/>
      <c r="L19" s="36"/>
      <c r="M19" s="37"/>
      <c r="N19" s="36"/>
      <c r="O19" s="37"/>
      <c r="P19" s="36"/>
      <c r="Q19" s="37"/>
      <c r="R19" s="36"/>
      <c r="S19" s="37"/>
      <c r="T19" s="36"/>
      <c r="U19" s="37"/>
    </row>
    <row r="20" spans="1:21">
      <c r="A20" s="15" t="s">
        <v>17</v>
      </c>
      <c r="B20" s="16"/>
      <c r="C20" s="20" t="s">
        <v>18</v>
      </c>
      <c r="D20" s="21"/>
      <c r="E20" s="21"/>
      <c r="F20" s="21"/>
      <c r="G20" s="21"/>
      <c r="H20" s="21"/>
      <c r="I20" s="21"/>
      <c r="J20" s="21"/>
      <c r="K20" s="39"/>
      <c r="L20" s="36">
        <v>8</v>
      </c>
      <c r="M20" s="37"/>
      <c r="N20" s="36">
        <v>8</v>
      </c>
      <c r="O20" s="37"/>
      <c r="P20" s="36">
        <v>5</v>
      </c>
      <c r="Q20" s="37"/>
      <c r="R20" s="36">
        <v>6</v>
      </c>
      <c r="S20" s="37"/>
      <c r="T20" s="36">
        <f>(1.5*L20+N20)/(SUM(1.5*L20:L82)+SUM(N20:N82))/(((P20/SUM(P20:P82)))+((R20/SUM(R20:R82))))</f>
        <v>1.46280991735537</v>
      </c>
      <c r="U20" s="37"/>
    </row>
    <row r="21" spans="1:21">
      <c r="A21" s="22" t="s">
        <v>19</v>
      </c>
      <c r="B21" s="23"/>
      <c r="C21" s="24" t="s">
        <v>20</v>
      </c>
      <c r="D21" s="25"/>
      <c r="E21" s="25"/>
      <c r="F21" s="25"/>
      <c r="G21" s="25"/>
      <c r="H21" s="25"/>
      <c r="I21" s="25"/>
      <c r="J21" s="25"/>
      <c r="K21" s="40"/>
      <c r="L21" s="36">
        <v>8</v>
      </c>
      <c r="M21" s="37"/>
      <c r="N21" s="36">
        <v>8</v>
      </c>
      <c r="O21" s="37"/>
      <c r="P21" s="36">
        <v>5</v>
      </c>
      <c r="Q21" s="37"/>
      <c r="R21" s="36">
        <v>5</v>
      </c>
      <c r="S21" s="37"/>
      <c r="T21" s="36">
        <f t="shared" ref="T21:T52" si="0">(1.5*L21+N21)/(SUM(1.5*L21:L83)+SUM(N21:N83))/(((P21/SUM(P21:P83)))+((R21/SUM(R21:R83))))</f>
        <v>1.63594470046083</v>
      </c>
      <c r="U21" s="37"/>
    </row>
    <row r="22" spans="1:21">
      <c r="A22" s="22" t="s">
        <v>21</v>
      </c>
      <c r="B22" s="23"/>
      <c r="C22" s="24" t="s">
        <v>22</v>
      </c>
      <c r="D22" s="25"/>
      <c r="E22" s="25"/>
      <c r="F22" s="25"/>
      <c r="G22" s="25"/>
      <c r="H22" s="25"/>
      <c r="I22" s="25"/>
      <c r="J22" s="25"/>
      <c r="K22" s="40"/>
      <c r="L22" s="36">
        <v>8</v>
      </c>
      <c r="M22" s="37"/>
      <c r="N22" s="36">
        <v>8</v>
      </c>
      <c r="O22" s="37"/>
      <c r="P22" s="36">
        <v>8</v>
      </c>
      <c r="Q22" s="37"/>
      <c r="R22" s="36">
        <v>4</v>
      </c>
      <c r="S22" s="37"/>
      <c r="T22" s="36">
        <f t="shared" si="0"/>
        <v>1.39148252345159</v>
      </c>
      <c r="U22" s="37"/>
    </row>
    <row r="23" spans="1:21">
      <c r="A23" s="22" t="s">
        <v>23</v>
      </c>
      <c r="B23" s="23"/>
      <c r="C23" s="24" t="s">
        <v>24</v>
      </c>
      <c r="D23" s="25"/>
      <c r="E23" s="25"/>
      <c r="F23" s="25"/>
      <c r="G23" s="25"/>
      <c r="H23" s="25"/>
      <c r="I23" s="25"/>
      <c r="J23" s="25"/>
      <c r="K23" s="40"/>
      <c r="L23" s="36">
        <v>8</v>
      </c>
      <c r="M23" s="37"/>
      <c r="N23" s="36">
        <v>8</v>
      </c>
      <c r="O23" s="37"/>
      <c r="P23" s="36">
        <v>6</v>
      </c>
      <c r="Q23" s="37"/>
      <c r="R23" s="36">
        <v>7</v>
      </c>
      <c r="S23" s="37"/>
      <c r="T23" s="36">
        <f t="shared" si="0"/>
        <v>1.29688279327339</v>
      </c>
      <c r="U23" s="37"/>
    </row>
    <row r="24" spans="1:21">
      <c r="A24" s="22" t="s">
        <v>25</v>
      </c>
      <c r="B24" s="23"/>
      <c r="C24" s="24" t="s">
        <v>26</v>
      </c>
      <c r="D24" s="25"/>
      <c r="E24" s="25"/>
      <c r="F24" s="25"/>
      <c r="G24" s="25"/>
      <c r="H24" s="25"/>
      <c r="I24" s="25"/>
      <c r="J24" s="25"/>
      <c r="K24" s="40"/>
      <c r="L24" s="36">
        <v>8</v>
      </c>
      <c r="M24" s="37"/>
      <c r="N24" s="36">
        <v>8</v>
      </c>
      <c r="O24" s="37"/>
      <c r="P24" s="36">
        <v>7</v>
      </c>
      <c r="Q24" s="37"/>
      <c r="R24" s="36">
        <v>8</v>
      </c>
      <c r="S24" s="37"/>
      <c r="T24" s="36">
        <f t="shared" si="0"/>
        <v>1.14738048026217</v>
      </c>
      <c r="U24" s="37"/>
    </row>
    <row r="25" spans="1:21">
      <c r="A25" s="15" t="s">
        <v>27</v>
      </c>
      <c r="B25" s="16"/>
      <c r="C25" s="20" t="s">
        <v>28</v>
      </c>
      <c r="D25" s="21"/>
      <c r="E25" s="21"/>
      <c r="F25" s="21"/>
      <c r="G25" s="21"/>
      <c r="H25" s="21"/>
      <c r="I25" s="21"/>
      <c r="J25" s="21"/>
      <c r="K25" s="39"/>
      <c r="L25" s="36"/>
      <c r="M25" s="37"/>
      <c r="N25" s="36"/>
      <c r="O25" s="37"/>
      <c r="P25" s="36"/>
      <c r="Q25" s="37"/>
      <c r="R25" s="36"/>
      <c r="S25" s="37"/>
      <c r="T25" s="36"/>
      <c r="U25" s="37"/>
    </row>
    <row r="26" spans="1:21">
      <c r="A26" s="22" t="s">
        <v>29</v>
      </c>
      <c r="B26" s="23"/>
      <c r="C26" s="24" t="s">
        <v>30</v>
      </c>
      <c r="D26" s="25"/>
      <c r="E26" s="25"/>
      <c r="F26" s="25"/>
      <c r="G26" s="25"/>
      <c r="H26" s="25"/>
      <c r="I26" s="25"/>
      <c r="J26" s="25"/>
      <c r="K26" s="40"/>
      <c r="L26" s="36">
        <v>8</v>
      </c>
      <c r="M26" s="37"/>
      <c r="N26" s="36">
        <v>8</v>
      </c>
      <c r="O26" s="37"/>
      <c r="P26" s="36">
        <v>9</v>
      </c>
      <c r="Q26" s="37"/>
      <c r="R26" s="36">
        <v>7</v>
      </c>
      <c r="S26" s="37"/>
      <c r="T26" s="36">
        <f t="shared" si="0"/>
        <v>1.08548352392614</v>
      </c>
      <c r="U26" s="37"/>
    </row>
    <row r="27" spans="1:21">
      <c r="A27" s="22" t="s">
        <v>31</v>
      </c>
      <c r="B27" s="23"/>
      <c r="C27" s="24" t="s">
        <v>32</v>
      </c>
      <c r="D27" s="25"/>
      <c r="E27" s="25"/>
      <c r="F27" s="25"/>
      <c r="G27" s="25"/>
      <c r="H27" s="25"/>
      <c r="I27" s="25"/>
      <c r="J27" s="25"/>
      <c r="K27" s="40"/>
      <c r="L27" s="36"/>
      <c r="M27" s="37"/>
      <c r="N27" s="36"/>
      <c r="O27" s="37"/>
      <c r="P27" s="36"/>
      <c r="Q27" s="37"/>
      <c r="R27" s="36"/>
      <c r="S27" s="37"/>
      <c r="T27" s="36"/>
      <c r="U27" s="37"/>
    </row>
    <row r="28" spans="1:21">
      <c r="A28" s="22" t="s">
        <v>33</v>
      </c>
      <c r="B28" s="23"/>
      <c r="C28" s="24" t="s">
        <v>34</v>
      </c>
      <c r="D28" s="25"/>
      <c r="E28" s="25"/>
      <c r="F28" s="25"/>
      <c r="G28" s="25"/>
      <c r="H28" s="25"/>
      <c r="I28" s="25"/>
      <c r="J28" s="25"/>
      <c r="K28" s="40"/>
      <c r="L28" s="36">
        <v>8</v>
      </c>
      <c r="M28" s="37"/>
      <c r="N28" s="36">
        <v>8</v>
      </c>
      <c r="O28" s="37"/>
      <c r="P28" s="36">
        <v>5</v>
      </c>
      <c r="Q28" s="37"/>
      <c r="R28" s="36">
        <v>7</v>
      </c>
      <c r="S28" s="37"/>
      <c r="T28" s="36">
        <f t="shared" si="0"/>
        <v>1.47520791965236</v>
      </c>
      <c r="U28" s="37"/>
    </row>
    <row r="29" spans="1:21">
      <c r="A29" s="22" t="s">
        <v>35</v>
      </c>
      <c r="B29" s="23"/>
      <c r="C29" s="24" t="s">
        <v>36</v>
      </c>
      <c r="D29" s="25"/>
      <c r="E29" s="25"/>
      <c r="F29" s="25"/>
      <c r="G29" s="25"/>
      <c r="H29" s="25"/>
      <c r="I29" s="25"/>
      <c r="J29" s="25"/>
      <c r="K29" s="40"/>
      <c r="L29" s="36">
        <v>8</v>
      </c>
      <c r="M29" s="37"/>
      <c r="N29" s="36">
        <v>8</v>
      </c>
      <c r="O29" s="37"/>
      <c r="P29" s="36">
        <v>6</v>
      </c>
      <c r="Q29" s="37"/>
      <c r="R29" s="36">
        <v>5</v>
      </c>
      <c r="S29" s="37"/>
      <c r="T29" s="36">
        <f t="shared" si="0"/>
        <v>1.63707221047311</v>
      </c>
      <c r="U29" s="37"/>
    </row>
    <row r="30" spans="1:21">
      <c r="A30" s="15" t="s">
        <v>37</v>
      </c>
      <c r="B30" s="16"/>
      <c r="C30" s="20" t="s">
        <v>38</v>
      </c>
      <c r="D30" s="21"/>
      <c r="E30" s="21"/>
      <c r="F30" s="21"/>
      <c r="G30" s="21"/>
      <c r="H30" s="21"/>
      <c r="I30" s="21"/>
      <c r="J30" s="21"/>
      <c r="K30" s="39"/>
      <c r="L30" s="36"/>
      <c r="M30" s="37"/>
      <c r="N30" s="36"/>
      <c r="O30" s="37"/>
      <c r="P30" s="36"/>
      <c r="Q30" s="37"/>
      <c r="R30" s="36"/>
      <c r="S30" s="37"/>
      <c r="T30" s="36"/>
      <c r="U30" s="37"/>
    </row>
    <row r="31" spans="1:21">
      <c r="A31" s="22" t="s">
        <v>39</v>
      </c>
      <c r="B31" s="23"/>
      <c r="C31" s="24" t="s">
        <v>40</v>
      </c>
      <c r="D31" s="25"/>
      <c r="E31" s="25"/>
      <c r="F31" s="25"/>
      <c r="G31" s="25"/>
      <c r="H31" s="25"/>
      <c r="I31" s="25"/>
      <c r="J31" s="25"/>
      <c r="K31" s="40"/>
      <c r="L31" s="36">
        <v>8</v>
      </c>
      <c r="M31" s="37"/>
      <c r="N31" s="36">
        <v>8</v>
      </c>
      <c r="O31" s="37"/>
      <c r="P31" s="36">
        <v>7</v>
      </c>
      <c r="Q31" s="37"/>
      <c r="R31" s="36">
        <v>8</v>
      </c>
      <c r="S31" s="37"/>
      <c r="T31" s="36">
        <f t="shared" si="0"/>
        <v>1.24776310377919</v>
      </c>
      <c r="U31" s="37"/>
    </row>
    <row r="32" spans="1:21">
      <c r="A32" s="22" t="s">
        <v>41</v>
      </c>
      <c r="B32" s="23"/>
      <c r="C32" s="26" t="s">
        <v>42</v>
      </c>
      <c r="D32" s="26"/>
      <c r="E32" s="26"/>
      <c r="F32" s="26"/>
      <c r="G32" s="26"/>
      <c r="H32" s="26"/>
      <c r="I32" s="26"/>
      <c r="J32" s="26"/>
      <c r="K32" s="26"/>
      <c r="L32" s="36">
        <v>8</v>
      </c>
      <c r="M32" s="37"/>
      <c r="N32" s="36">
        <v>8</v>
      </c>
      <c r="O32" s="37"/>
      <c r="P32" s="36">
        <v>8</v>
      </c>
      <c r="Q32" s="37"/>
      <c r="R32" s="36">
        <v>7</v>
      </c>
      <c r="S32" s="37"/>
      <c r="T32" s="36">
        <f t="shared" si="0"/>
        <v>1.25901083047636</v>
      </c>
      <c r="U32" s="37"/>
    </row>
    <row r="33" spans="1:21">
      <c r="A33" s="22" t="s">
        <v>43</v>
      </c>
      <c r="B33" s="23"/>
      <c r="C33" s="24" t="s">
        <v>44</v>
      </c>
      <c r="D33" s="25"/>
      <c r="E33" s="25"/>
      <c r="F33" s="25"/>
      <c r="G33" s="25"/>
      <c r="H33" s="25"/>
      <c r="I33" s="25"/>
      <c r="J33" s="25"/>
      <c r="K33" s="40"/>
      <c r="L33" s="36">
        <v>8</v>
      </c>
      <c r="M33" s="37"/>
      <c r="N33" s="36">
        <v>8</v>
      </c>
      <c r="O33" s="37"/>
      <c r="P33" s="36">
        <v>8</v>
      </c>
      <c r="Q33" s="37"/>
      <c r="R33" s="36">
        <v>8</v>
      </c>
      <c r="S33" s="37"/>
      <c r="T33" s="36">
        <f t="shared" si="0"/>
        <v>1.20262088560284</v>
      </c>
      <c r="U33" s="37"/>
    </row>
    <row r="34" spans="1:21">
      <c r="A34" s="22" t="s">
        <v>45</v>
      </c>
      <c r="B34" s="23"/>
      <c r="C34" s="24" t="s">
        <v>46</v>
      </c>
      <c r="D34" s="25"/>
      <c r="E34" s="25"/>
      <c r="F34" s="25"/>
      <c r="G34" s="25"/>
      <c r="H34" s="25"/>
      <c r="I34" s="25"/>
      <c r="J34" s="25"/>
      <c r="K34" s="40"/>
      <c r="L34" s="36">
        <v>8</v>
      </c>
      <c r="M34" s="37"/>
      <c r="N34" s="36">
        <v>8</v>
      </c>
      <c r="O34" s="37"/>
      <c r="P34" s="36">
        <v>5</v>
      </c>
      <c r="Q34" s="37"/>
      <c r="R34" s="36">
        <v>6</v>
      </c>
      <c r="S34" s="37"/>
      <c r="T34" s="36">
        <f t="shared" si="0"/>
        <v>1.7680379897614</v>
      </c>
      <c r="U34" s="37"/>
    </row>
    <row r="35" spans="1:21">
      <c r="A35" s="15" t="s">
        <v>47</v>
      </c>
      <c r="B35" s="16"/>
      <c r="C35" s="20" t="s">
        <v>48</v>
      </c>
      <c r="D35" s="21"/>
      <c r="E35" s="21"/>
      <c r="F35" s="21"/>
      <c r="G35" s="21"/>
      <c r="H35" s="21"/>
      <c r="I35" s="21"/>
      <c r="J35" s="21"/>
      <c r="K35" s="39"/>
      <c r="L35" s="36"/>
      <c r="M35" s="37"/>
      <c r="N35" s="36"/>
      <c r="O35" s="37"/>
      <c r="P35" s="36"/>
      <c r="Q35" s="37"/>
      <c r="R35" s="36"/>
      <c r="S35" s="37"/>
      <c r="T35" s="36"/>
      <c r="U35" s="37"/>
    </row>
    <row r="36" spans="1:21">
      <c r="A36" s="22" t="s">
        <v>49</v>
      </c>
      <c r="B36" s="23"/>
      <c r="C36" s="24" t="s">
        <v>50</v>
      </c>
      <c r="D36" s="25"/>
      <c r="E36" s="25"/>
      <c r="F36" s="25"/>
      <c r="G36" s="25"/>
      <c r="H36" s="25"/>
      <c r="I36" s="25"/>
      <c r="J36" s="25"/>
      <c r="K36" s="40"/>
      <c r="L36" s="36">
        <v>8</v>
      </c>
      <c r="M36" s="37"/>
      <c r="N36" s="36">
        <v>8</v>
      </c>
      <c r="O36" s="37"/>
      <c r="P36" s="36">
        <v>6</v>
      </c>
      <c r="Q36" s="37"/>
      <c r="R36" s="36">
        <v>4</v>
      </c>
      <c r="S36" s="37"/>
      <c r="T36" s="36">
        <f t="shared" si="0"/>
        <v>1.98814058877666</v>
      </c>
      <c r="U36" s="37"/>
    </row>
    <row r="37" s="1" customFormat="1" spans="1:21">
      <c r="A37" s="27" t="s">
        <v>51</v>
      </c>
      <c r="B37" s="28"/>
      <c r="C37" s="29" t="s">
        <v>52</v>
      </c>
      <c r="D37" s="30"/>
      <c r="E37" s="30"/>
      <c r="F37" s="30"/>
      <c r="G37" s="30"/>
      <c r="H37" s="30"/>
      <c r="I37" s="30"/>
      <c r="J37" s="30"/>
      <c r="K37" s="41"/>
      <c r="L37" s="42">
        <v>5</v>
      </c>
      <c r="M37" s="43"/>
      <c r="N37" s="42">
        <v>6</v>
      </c>
      <c r="O37" s="43"/>
      <c r="P37" s="42">
        <v>6</v>
      </c>
      <c r="Q37" s="43"/>
      <c r="R37" s="42">
        <v>4</v>
      </c>
      <c r="S37" s="43"/>
      <c r="T37" s="42">
        <f t="shared" si="0"/>
        <v>1.37723950315655</v>
      </c>
      <c r="U37" s="43"/>
    </row>
    <row r="38" spans="1:21">
      <c r="A38" s="15">
        <v>1.2</v>
      </c>
      <c r="B38" s="16"/>
      <c r="C38" s="18" t="s">
        <v>53</v>
      </c>
      <c r="D38" s="19"/>
      <c r="E38" s="19"/>
      <c r="F38" s="19"/>
      <c r="G38" s="19"/>
      <c r="H38" s="19"/>
      <c r="I38" s="19"/>
      <c r="J38" s="19"/>
      <c r="K38" s="38"/>
      <c r="L38" s="36"/>
      <c r="M38" s="37"/>
      <c r="N38" s="36"/>
      <c r="O38" s="37"/>
      <c r="P38" s="36"/>
      <c r="Q38" s="37"/>
      <c r="R38" s="36"/>
      <c r="S38" s="37"/>
      <c r="T38" s="36"/>
      <c r="U38" s="37"/>
    </row>
    <row r="39" spans="1:21">
      <c r="A39" s="15" t="s">
        <v>54</v>
      </c>
      <c r="B39" s="16"/>
      <c r="C39" s="20" t="s">
        <v>55</v>
      </c>
      <c r="D39" s="21"/>
      <c r="E39" s="21"/>
      <c r="F39" s="21"/>
      <c r="G39" s="21"/>
      <c r="H39" s="21"/>
      <c r="I39" s="21"/>
      <c r="J39" s="21"/>
      <c r="K39" s="39"/>
      <c r="L39" s="36">
        <v>9</v>
      </c>
      <c r="M39" s="37"/>
      <c r="N39" s="36">
        <v>9</v>
      </c>
      <c r="O39" s="37"/>
      <c r="P39" s="36">
        <v>5</v>
      </c>
      <c r="Q39" s="37"/>
      <c r="R39" s="36">
        <v>3</v>
      </c>
      <c r="S39" s="37"/>
      <c r="T39" s="36">
        <f t="shared" ref="T39:T53" si="1">(1.5*L39+N39)/(SUM(1.5*L39:L100)+SUM(N39:N100))/(((P39/SUM(P39:P100)))+((R39/SUM(R39:R100))))</f>
        <v>2.82902765823517</v>
      </c>
      <c r="U39" s="37"/>
    </row>
    <row r="40" spans="1:21">
      <c r="A40" s="22" t="s">
        <v>56</v>
      </c>
      <c r="B40" s="23"/>
      <c r="C40" s="24" t="s">
        <v>57</v>
      </c>
      <c r="D40" s="25"/>
      <c r="E40" s="25"/>
      <c r="F40" s="25"/>
      <c r="G40" s="25"/>
      <c r="H40" s="25"/>
      <c r="I40" s="25"/>
      <c r="J40" s="25"/>
      <c r="K40" s="40"/>
      <c r="L40" s="36">
        <v>9</v>
      </c>
      <c r="M40" s="37"/>
      <c r="N40" s="36">
        <v>9</v>
      </c>
      <c r="O40" s="37"/>
      <c r="P40" s="36">
        <v>5</v>
      </c>
      <c r="Q40" s="37"/>
      <c r="R40" s="36">
        <v>3</v>
      </c>
      <c r="S40" s="37"/>
      <c r="T40" s="36">
        <f t="shared" si="1"/>
        <v>2.90173392318172</v>
      </c>
      <c r="U40" s="37"/>
    </row>
    <row r="41" spans="1:21">
      <c r="A41" s="22" t="s">
        <v>58</v>
      </c>
      <c r="B41" s="23"/>
      <c r="C41" s="24" t="s">
        <v>59</v>
      </c>
      <c r="D41" s="25"/>
      <c r="E41" s="25"/>
      <c r="F41" s="25"/>
      <c r="G41" s="25"/>
      <c r="H41" s="25"/>
      <c r="I41" s="25"/>
      <c r="J41" s="25"/>
      <c r="K41" s="40"/>
      <c r="L41" s="36">
        <v>9</v>
      </c>
      <c r="M41" s="37"/>
      <c r="N41" s="36">
        <v>9</v>
      </c>
      <c r="O41" s="37"/>
      <c r="P41" s="36">
        <v>5</v>
      </c>
      <c r="Q41" s="37"/>
      <c r="R41" s="36">
        <v>3</v>
      </c>
      <c r="S41" s="37"/>
      <c r="T41" s="36">
        <f t="shared" si="1"/>
        <v>2.96918322727217</v>
      </c>
      <c r="U41" s="37"/>
    </row>
    <row r="42" spans="1:21">
      <c r="A42" s="22" t="s">
        <v>60</v>
      </c>
      <c r="B42" s="23"/>
      <c r="C42" s="24" t="s">
        <v>61</v>
      </c>
      <c r="D42" s="25"/>
      <c r="E42" s="25"/>
      <c r="F42" s="25"/>
      <c r="G42" s="25"/>
      <c r="H42" s="25"/>
      <c r="I42" s="25"/>
      <c r="J42" s="25"/>
      <c r="K42" s="40"/>
      <c r="L42" s="36">
        <v>9</v>
      </c>
      <c r="M42" s="37"/>
      <c r="N42" s="36">
        <v>9</v>
      </c>
      <c r="O42" s="37"/>
      <c r="P42" s="36">
        <v>6</v>
      </c>
      <c r="Q42" s="37"/>
      <c r="R42" s="36">
        <v>7</v>
      </c>
      <c r="S42" s="37"/>
      <c r="T42" s="36">
        <f t="shared" si="1"/>
        <v>1.87471657042658</v>
      </c>
      <c r="U42" s="37"/>
    </row>
    <row r="43" spans="1:21">
      <c r="A43" s="22" t="s">
        <v>62</v>
      </c>
      <c r="B43" s="23"/>
      <c r="C43" s="24" t="s">
        <v>63</v>
      </c>
      <c r="D43" s="25"/>
      <c r="E43" s="25"/>
      <c r="F43" s="25"/>
      <c r="G43" s="25"/>
      <c r="H43" s="25"/>
      <c r="I43" s="25"/>
      <c r="J43" s="25"/>
      <c r="K43" s="40"/>
      <c r="L43" s="36">
        <v>9</v>
      </c>
      <c r="M43" s="37"/>
      <c r="N43" s="36">
        <v>9</v>
      </c>
      <c r="O43" s="37"/>
      <c r="P43" s="36">
        <v>5</v>
      </c>
      <c r="Q43" s="37"/>
      <c r="R43" s="36">
        <v>6</v>
      </c>
      <c r="S43" s="37"/>
      <c r="T43" s="36">
        <f t="shared" si="1"/>
        <v>2.25636708454353</v>
      </c>
      <c r="U43" s="37"/>
    </row>
    <row r="44" spans="1:21">
      <c r="A44" s="22" t="s">
        <v>64</v>
      </c>
      <c r="B44" s="23"/>
      <c r="C44" s="24" t="s">
        <v>65</v>
      </c>
      <c r="D44" s="25"/>
      <c r="E44" s="25"/>
      <c r="F44" s="25"/>
      <c r="G44" s="25"/>
      <c r="H44" s="25"/>
      <c r="I44" s="25"/>
      <c r="J44" s="25"/>
      <c r="K44" s="40"/>
      <c r="L44" s="36">
        <v>9</v>
      </c>
      <c r="M44" s="37"/>
      <c r="N44" s="36">
        <v>9</v>
      </c>
      <c r="O44" s="37"/>
      <c r="P44" s="36">
        <v>4</v>
      </c>
      <c r="Q44" s="37"/>
      <c r="R44" s="36">
        <v>4</v>
      </c>
      <c r="S44" s="37"/>
      <c r="T44" s="36">
        <f t="shared" si="1"/>
        <v>3.18389722939554</v>
      </c>
      <c r="U44" s="37"/>
    </row>
    <row r="45" spans="1:21">
      <c r="A45" s="15" t="s">
        <v>66</v>
      </c>
      <c r="B45" s="16"/>
      <c r="C45" s="20" t="s">
        <v>67</v>
      </c>
      <c r="D45" s="21"/>
      <c r="E45" s="21"/>
      <c r="F45" s="21"/>
      <c r="G45" s="21"/>
      <c r="H45" s="21"/>
      <c r="I45" s="21"/>
      <c r="J45" s="21"/>
      <c r="K45" s="39"/>
      <c r="L45" s="36">
        <v>9</v>
      </c>
      <c r="M45" s="37"/>
      <c r="N45" s="36">
        <v>9</v>
      </c>
      <c r="O45" s="37"/>
      <c r="P45" s="36">
        <v>8</v>
      </c>
      <c r="Q45" s="37"/>
      <c r="R45" s="36">
        <v>8</v>
      </c>
      <c r="S45" s="37"/>
      <c r="T45" s="36">
        <f t="shared" si="1"/>
        <v>1.64464562283354</v>
      </c>
      <c r="U45" s="37"/>
    </row>
    <row r="46" spans="1:21">
      <c r="A46" s="22" t="s">
        <v>68</v>
      </c>
      <c r="B46" s="23"/>
      <c r="C46" s="24" t="s">
        <v>69</v>
      </c>
      <c r="D46" s="25"/>
      <c r="E46" s="25"/>
      <c r="F46" s="25"/>
      <c r="G46" s="25"/>
      <c r="H46" s="25"/>
      <c r="I46" s="25"/>
      <c r="J46" s="25"/>
      <c r="K46" s="40"/>
      <c r="L46" s="36">
        <v>9</v>
      </c>
      <c r="M46" s="37"/>
      <c r="N46" s="36">
        <v>9</v>
      </c>
      <c r="O46" s="37"/>
      <c r="P46" s="36">
        <v>8</v>
      </c>
      <c r="Q46" s="37"/>
      <c r="R46" s="36">
        <v>7</v>
      </c>
      <c r="S46" s="37"/>
      <c r="T46" s="36">
        <f t="shared" si="1"/>
        <v>1.76604453771012</v>
      </c>
      <c r="U46" s="37"/>
    </row>
    <row r="47" spans="1:21">
      <c r="A47" s="22" t="s">
        <v>70</v>
      </c>
      <c r="B47" s="23"/>
      <c r="C47" s="31" t="s">
        <v>71</v>
      </c>
      <c r="D47" s="32"/>
      <c r="E47" s="32"/>
      <c r="F47" s="32"/>
      <c r="G47" s="32"/>
      <c r="H47" s="32"/>
      <c r="I47" s="32"/>
      <c r="J47" s="32"/>
      <c r="K47" s="44"/>
      <c r="L47" s="36">
        <v>9</v>
      </c>
      <c r="M47" s="37"/>
      <c r="N47" s="36">
        <v>9</v>
      </c>
      <c r="O47" s="37"/>
      <c r="P47" s="36">
        <v>9</v>
      </c>
      <c r="Q47" s="37"/>
      <c r="R47" s="36">
        <v>7</v>
      </c>
      <c r="S47" s="37"/>
      <c r="T47" s="36">
        <f t="shared" si="1"/>
        <v>1.68536486359663</v>
      </c>
      <c r="U47" s="37"/>
    </row>
    <row r="48" spans="1:21">
      <c r="A48" s="22" t="s">
        <v>72</v>
      </c>
      <c r="B48" s="23"/>
      <c r="C48" s="24" t="s">
        <v>73</v>
      </c>
      <c r="D48" s="25"/>
      <c r="E48" s="25"/>
      <c r="F48" s="25"/>
      <c r="G48" s="25"/>
      <c r="H48" s="25"/>
      <c r="I48" s="25"/>
      <c r="J48" s="25"/>
      <c r="K48" s="40"/>
      <c r="L48" s="36">
        <v>9</v>
      </c>
      <c r="M48" s="37"/>
      <c r="N48" s="36">
        <v>9</v>
      </c>
      <c r="O48" s="37"/>
      <c r="P48" s="36">
        <v>9</v>
      </c>
      <c r="Q48" s="37"/>
      <c r="R48" s="36">
        <v>7</v>
      </c>
      <c r="S48" s="37"/>
      <c r="T48" s="36">
        <f t="shared" si="1"/>
        <v>1.72449735189561</v>
      </c>
      <c r="U48" s="37"/>
    </row>
    <row r="49" spans="1:21">
      <c r="A49" s="22" t="s">
        <v>74</v>
      </c>
      <c r="B49" s="23"/>
      <c r="C49" s="24" t="s">
        <v>75</v>
      </c>
      <c r="D49" s="25"/>
      <c r="E49" s="25"/>
      <c r="F49" s="25"/>
      <c r="G49" s="25"/>
      <c r="H49" s="25"/>
      <c r="I49" s="25"/>
      <c r="J49" s="25"/>
      <c r="K49" s="40"/>
      <c r="L49" s="36">
        <v>9</v>
      </c>
      <c r="M49" s="37"/>
      <c r="N49" s="36">
        <v>9</v>
      </c>
      <c r="O49" s="37"/>
      <c r="P49" s="36">
        <v>7</v>
      </c>
      <c r="Q49" s="37"/>
      <c r="R49" s="36">
        <v>7</v>
      </c>
      <c r="S49" s="37"/>
      <c r="T49" s="36">
        <f t="shared" si="1"/>
        <v>1.99827288428325</v>
      </c>
      <c r="U49" s="37"/>
    </row>
    <row r="50" spans="1:21">
      <c r="A50" s="15" t="s">
        <v>76</v>
      </c>
      <c r="B50" s="16"/>
      <c r="C50" s="20" t="s">
        <v>77</v>
      </c>
      <c r="D50" s="21"/>
      <c r="E50" s="21"/>
      <c r="F50" s="21"/>
      <c r="G50" s="21"/>
      <c r="H50" s="21"/>
      <c r="I50" s="21"/>
      <c r="J50" s="21"/>
      <c r="K50" s="39"/>
      <c r="L50" s="36">
        <v>9</v>
      </c>
      <c r="M50" s="37"/>
      <c r="N50" s="36">
        <v>9</v>
      </c>
      <c r="O50" s="37"/>
      <c r="P50" s="36">
        <v>8</v>
      </c>
      <c r="Q50" s="37"/>
      <c r="R50" s="36">
        <v>8</v>
      </c>
      <c r="S50" s="37"/>
      <c r="T50" s="36">
        <f t="shared" si="1"/>
        <v>1.78655834791826</v>
      </c>
      <c r="U50" s="37"/>
    </row>
    <row r="51" spans="1:21">
      <c r="A51" s="22" t="s">
        <v>78</v>
      </c>
      <c r="B51" s="23"/>
      <c r="C51" s="24" t="s">
        <v>79</v>
      </c>
      <c r="D51" s="25"/>
      <c r="E51" s="25"/>
      <c r="F51" s="25"/>
      <c r="G51" s="25"/>
      <c r="H51" s="25"/>
      <c r="I51" s="25"/>
      <c r="J51" s="25"/>
      <c r="K51" s="40"/>
      <c r="L51" s="36">
        <v>9</v>
      </c>
      <c r="M51" s="37"/>
      <c r="N51" s="36">
        <v>9</v>
      </c>
      <c r="O51" s="37"/>
      <c r="P51" s="36">
        <v>4</v>
      </c>
      <c r="Q51" s="37"/>
      <c r="R51" s="36">
        <v>4</v>
      </c>
      <c r="S51" s="37"/>
      <c r="T51" s="36">
        <f t="shared" si="1"/>
        <v>3.6540057944418</v>
      </c>
      <c r="U51" s="37"/>
    </row>
    <row r="52" spans="1:21">
      <c r="A52" s="22" t="s">
        <v>80</v>
      </c>
      <c r="B52" s="23"/>
      <c r="C52" s="24" t="s">
        <v>81</v>
      </c>
      <c r="D52" s="25"/>
      <c r="E52" s="25"/>
      <c r="F52" s="25"/>
      <c r="G52" s="25"/>
      <c r="H52" s="25"/>
      <c r="I52" s="25"/>
      <c r="J52" s="25"/>
      <c r="K52" s="40"/>
      <c r="L52" s="36">
        <v>9</v>
      </c>
      <c r="M52" s="37"/>
      <c r="N52" s="36">
        <v>9</v>
      </c>
      <c r="O52" s="37"/>
      <c r="P52" s="36">
        <v>4</v>
      </c>
      <c r="Q52" s="37"/>
      <c r="R52" s="36">
        <v>8</v>
      </c>
      <c r="S52" s="37"/>
      <c r="T52" s="36">
        <f t="shared" si="1"/>
        <v>2.53914102915261</v>
      </c>
      <c r="U52" s="37"/>
    </row>
    <row r="53" spans="1:21">
      <c r="A53" s="15" t="s">
        <v>82</v>
      </c>
      <c r="B53" s="23"/>
      <c r="C53" s="20" t="s">
        <v>83</v>
      </c>
      <c r="D53" s="21"/>
      <c r="E53" s="21"/>
      <c r="F53" s="21"/>
      <c r="G53" s="21"/>
      <c r="H53" s="21"/>
      <c r="I53" s="21"/>
      <c r="J53" s="21"/>
      <c r="K53" s="39"/>
      <c r="L53" s="36">
        <v>9</v>
      </c>
      <c r="M53" s="37"/>
      <c r="N53" s="36">
        <v>9</v>
      </c>
      <c r="O53" s="37"/>
      <c r="P53" s="36">
        <v>8</v>
      </c>
      <c r="Q53" s="37"/>
      <c r="R53" s="36">
        <v>8</v>
      </c>
      <c r="S53" s="37"/>
      <c r="T53" s="36">
        <f t="shared" si="1"/>
        <v>1.92905375235435</v>
      </c>
      <c r="U53" s="37"/>
    </row>
    <row r="54" spans="1:21">
      <c r="A54" s="22" t="s">
        <v>84</v>
      </c>
      <c r="B54" s="23"/>
      <c r="C54" s="24" t="s">
        <v>85</v>
      </c>
      <c r="D54" s="25"/>
      <c r="E54" s="25"/>
      <c r="F54" s="25"/>
      <c r="G54" s="25"/>
      <c r="H54" s="25"/>
      <c r="I54" s="25"/>
      <c r="J54" s="25"/>
      <c r="K54" s="40"/>
      <c r="L54" s="36">
        <v>9</v>
      </c>
      <c r="M54" s="37"/>
      <c r="N54" s="36">
        <v>9</v>
      </c>
      <c r="O54" s="37"/>
      <c r="P54" s="36">
        <v>8</v>
      </c>
      <c r="Q54" s="37"/>
      <c r="R54" s="36">
        <v>8</v>
      </c>
      <c r="S54" s="37"/>
      <c r="T54" s="36">
        <f t="shared" ref="T54:T77" si="2">(1.5*L54+N54)/(SUM(1.5*L54:L115)+SUM(N54:N115))/(((P54/SUM(P54:P115)))+((R54/SUM(R54:R115))))</f>
        <v>1.97128293337808</v>
      </c>
      <c r="U54" s="37"/>
    </row>
    <row r="55" spans="1:21">
      <c r="A55" s="15">
        <v>1.3</v>
      </c>
      <c r="B55" s="16"/>
      <c r="C55" s="18" t="s">
        <v>86</v>
      </c>
      <c r="D55" s="19"/>
      <c r="E55" s="19"/>
      <c r="F55" s="19"/>
      <c r="G55" s="19"/>
      <c r="H55" s="19"/>
      <c r="I55" s="19"/>
      <c r="J55" s="19"/>
      <c r="K55" s="38"/>
      <c r="L55" s="36">
        <v>8</v>
      </c>
      <c r="M55" s="37"/>
      <c r="N55" s="36">
        <v>8</v>
      </c>
      <c r="O55" s="37"/>
      <c r="P55" s="36">
        <v>5</v>
      </c>
      <c r="Q55" s="37"/>
      <c r="R55" s="36">
        <v>7</v>
      </c>
      <c r="S55" s="37"/>
      <c r="T55" s="36">
        <f t="shared" si="2"/>
        <v>2.42636705170228</v>
      </c>
      <c r="U55" s="37"/>
    </row>
    <row r="56" spans="1:21">
      <c r="A56" s="15" t="s">
        <v>87</v>
      </c>
      <c r="B56" s="16"/>
      <c r="C56" s="20" t="s">
        <v>88</v>
      </c>
      <c r="D56" s="21"/>
      <c r="E56" s="21"/>
      <c r="F56" s="21"/>
      <c r="G56" s="21"/>
      <c r="H56" s="21"/>
      <c r="I56" s="21"/>
      <c r="J56" s="21"/>
      <c r="K56" s="39"/>
      <c r="L56" s="36">
        <v>8</v>
      </c>
      <c r="M56" s="37"/>
      <c r="N56" s="36">
        <v>8</v>
      </c>
      <c r="O56" s="37"/>
      <c r="P56" s="36">
        <v>5</v>
      </c>
      <c r="Q56" s="37"/>
      <c r="R56" s="36">
        <v>7</v>
      </c>
      <c r="S56" s="37"/>
      <c r="T56" s="36">
        <f t="shared" si="2"/>
        <v>2.4687011072558</v>
      </c>
      <c r="U56" s="37"/>
    </row>
    <row r="57" spans="1:21">
      <c r="A57" s="15" t="s">
        <v>89</v>
      </c>
      <c r="B57" s="16"/>
      <c r="C57" s="20" t="s">
        <v>90</v>
      </c>
      <c r="D57" s="21"/>
      <c r="E57" s="21"/>
      <c r="F57" s="21"/>
      <c r="G57" s="21"/>
      <c r="H57" s="21"/>
      <c r="I57" s="21"/>
      <c r="J57" s="21"/>
      <c r="K57" s="39"/>
      <c r="L57" s="36">
        <v>8</v>
      </c>
      <c r="M57" s="37"/>
      <c r="N57" s="36">
        <v>8</v>
      </c>
      <c r="O57" s="37"/>
      <c r="P57" s="36">
        <v>6</v>
      </c>
      <c r="Q57" s="37"/>
      <c r="R57" s="36">
        <v>8</v>
      </c>
      <c r="S57" s="37"/>
      <c r="T57" s="36">
        <f t="shared" si="2"/>
        <v>2.16775865181425</v>
      </c>
      <c r="U57" s="37"/>
    </row>
    <row r="58" spans="1:21">
      <c r="A58" s="15" t="s">
        <v>91</v>
      </c>
      <c r="B58" s="16"/>
      <c r="C58" s="20" t="s">
        <v>92</v>
      </c>
      <c r="D58" s="21"/>
      <c r="E58" s="21"/>
      <c r="F58" s="21"/>
      <c r="G58" s="21"/>
      <c r="H58" s="21"/>
      <c r="I58" s="21"/>
      <c r="J58" s="21"/>
      <c r="K58" s="39"/>
      <c r="L58" s="36">
        <v>8</v>
      </c>
      <c r="M58" s="37"/>
      <c r="N58" s="36">
        <v>8</v>
      </c>
      <c r="O58" s="37"/>
      <c r="P58" s="36">
        <v>4</v>
      </c>
      <c r="Q58" s="37"/>
      <c r="R58" s="36">
        <v>3</v>
      </c>
      <c r="S58" s="37"/>
      <c r="T58" s="36">
        <f t="shared" si="2"/>
        <v>4.45138211382114</v>
      </c>
      <c r="U58" s="37"/>
    </row>
    <row r="59" spans="1:21">
      <c r="A59" s="22" t="s">
        <v>93</v>
      </c>
      <c r="B59" s="23"/>
      <c r="C59" s="24" t="s">
        <v>94</v>
      </c>
      <c r="D59" s="25"/>
      <c r="E59" s="25"/>
      <c r="F59" s="25"/>
      <c r="G59" s="25"/>
      <c r="H59" s="25"/>
      <c r="I59" s="25"/>
      <c r="J59" s="25"/>
      <c r="K59" s="40"/>
      <c r="L59" s="36">
        <v>8</v>
      </c>
      <c r="M59" s="37"/>
      <c r="N59" s="36">
        <v>8</v>
      </c>
      <c r="O59" s="37"/>
      <c r="P59" s="36">
        <v>4</v>
      </c>
      <c r="Q59" s="37"/>
      <c r="R59" s="36">
        <v>7</v>
      </c>
      <c r="S59" s="37"/>
      <c r="T59" s="36">
        <f t="shared" si="2"/>
        <v>2.95909144128322</v>
      </c>
      <c r="U59" s="37"/>
    </row>
    <row r="60" spans="1:21">
      <c r="A60" s="15" t="s">
        <v>95</v>
      </c>
      <c r="B60" s="16"/>
      <c r="C60" s="20" t="s">
        <v>96</v>
      </c>
      <c r="D60" s="21"/>
      <c r="E60" s="21"/>
      <c r="F60" s="21"/>
      <c r="G60" s="21"/>
      <c r="H60" s="21"/>
      <c r="I60" s="21"/>
      <c r="J60" s="21"/>
      <c r="K60" s="39"/>
      <c r="L60" s="36">
        <v>8</v>
      </c>
      <c r="M60" s="37"/>
      <c r="N60" s="36">
        <v>8</v>
      </c>
      <c r="O60" s="37"/>
      <c r="P60" s="36">
        <v>8</v>
      </c>
      <c r="Q60" s="37"/>
      <c r="R60" s="36">
        <v>8</v>
      </c>
      <c r="S60" s="37"/>
      <c r="T60" s="36">
        <f t="shared" si="2"/>
        <v>2.07339201083277</v>
      </c>
      <c r="U60" s="37"/>
    </row>
    <row r="61" spans="1:21">
      <c r="A61" s="22" t="s">
        <v>97</v>
      </c>
      <c r="B61" s="23"/>
      <c r="C61" s="24" t="s">
        <v>98</v>
      </c>
      <c r="D61" s="25"/>
      <c r="E61" s="25"/>
      <c r="F61" s="25"/>
      <c r="G61" s="25"/>
      <c r="H61" s="25"/>
      <c r="I61" s="25"/>
      <c r="J61" s="25"/>
      <c r="K61" s="40"/>
      <c r="L61" s="36">
        <v>8</v>
      </c>
      <c r="M61" s="37"/>
      <c r="N61" s="36">
        <v>8</v>
      </c>
      <c r="O61" s="37"/>
      <c r="P61" s="36">
        <v>8</v>
      </c>
      <c r="Q61" s="37"/>
      <c r="R61" s="36">
        <v>8</v>
      </c>
      <c r="S61" s="37"/>
      <c r="T61" s="36">
        <f t="shared" si="2"/>
        <v>2.12179352396972</v>
      </c>
      <c r="U61" s="37"/>
    </row>
    <row r="62" spans="1:21">
      <c r="A62" s="15">
        <v>1.4</v>
      </c>
      <c r="B62" s="16"/>
      <c r="C62" s="18" t="s">
        <v>99</v>
      </c>
      <c r="D62" s="19"/>
      <c r="E62" s="19"/>
      <c r="F62" s="19"/>
      <c r="G62" s="19"/>
      <c r="H62" s="19"/>
      <c r="I62" s="19"/>
      <c r="J62" s="19"/>
      <c r="K62" s="38"/>
      <c r="L62" s="36">
        <v>7</v>
      </c>
      <c r="M62" s="37"/>
      <c r="N62" s="36">
        <v>7</v>
      </c>
      <c r="O62" s="37"/>
      <c r="P62" s="36">
        <v>5</v>
      </c>
      <c r="Q62" s="37"/>
      <c r="R62" s="36">
        <v>4</v>
      </c>
      <c r="S62" s="37"/>
      <c r="T62" s="36">
        <f t="shared" si="2"/>
        <v>3.40416957800491</v>
      </c>
      <c r="U62" s="37"/>
    </row>
    <row r="63" spans="1:21">
      <c r="A63" s="15" t="s">
        <v>100</v>
      </c>
      <c r="B63" s="16"/>
      <c r="C63" s="20" t="s">
        <v>101</v>
      </c>
      <c r="D63" s="21"/>
      <c r="E63" s="21"/>
      <c r="F63" s="21"/>
      <c r="G63" s="21"/>
      <c r="H63" s="21"/>
      <c r="I63" s="21"/>
      <c r="J63" s="21"/>
      <c r="K63" s="39"/>
      <c r="L63" s="36">
        <v>7</v>
      </c>
      <c r="M63" s="37"/>
      <c r="N63" s="36">
        <v>7</v>
      </c>
      <c r="O63" s="37"/>
      <c r="P63" s="36">
        <v>5</v>
      </c>
      <c r="Q63" s="37"/>
      <c r="R63" s="36">
        <v>7</v>
      </c>
      <c r="S63" s="37"/>
      <c r="T63" s="36">
        <f t="shared" si="2"/>
        <v>2.63559969442322</v>
      </c>
      <c r="U63" s="37"/>
    </row>
    <row r="64" spans="1:21">
      <c r="A64" s="15" t="s">
        <v>102</v>
      </c>
      <c r="B64" s="16"/>
      <c r="C64" s="20" t="s">
        <v>103</v>
      </c>
      <c r="D64" s="21"/>
      <c r="E64" s="21"/>
      <c r="F64" s="21"/>
      <c r="G64" s="21"/>
      <c r="H64" s="21"/>
      <c r="I64" s="21"/>
      <c r="J64" s="21"/>
      <c r="K64" s="39"/>
      <c r="L64" s="36">
        <v>7</v>
      </c>
      <c r="M64" s="37"/>
      <c r="N64" s="36">
        <v>7</v>
      </c>
      <c r="O64" s="37"/>
      <c r="P64" s="36">
        <v>7</v>
      </c>
      <c r="Q64" s="37"/>
      <c r="R64" s="36">
        <v>5</v>
      </c>
      <c r="S64" s="37"/>
      <c r="T64" s="36">
        <f t="shared" si="2"/>
        <v>2.69639590774166</v>
      </c>
      <c r="U64" s="37"/>
    </row>
    <row r="65" spans="1:21">
      <c r="A65" s="15" t="s">
        <v>104</v>
      </c>
      <c r="B65" s="16"/>
      <c r="C65" s="20" t="s">
        <v>105</v>
      </c>
      <c r="D65" s="21"/>
      <c r="E65" s="21"/>
      <c r="F65" s="21"/>
      <c r="G65" s="21"/>
      <c r="H65" s="21"/>
      <c r="I65" s="21"/>
      <c r="J65" s="21"/>
      <c r="K65" s="39"/>
      <c r="L65" s="36">
        <v>7</v>
      </c>
      <c r="M65" s="37"/>
      <c r="N65" s="36">
        <v>7</v>
      </c>
      <c r="O65" s="37"/>
      <c r="P65" s="36">
        <v>6</v>
      </c>
      <c r="Q65" s="37"/>
      <c r="R65" s="36">
        <v>6</v>
      </c>
      <c r="S65" s="37"/>
      <c r="T65" s="36">
        <f t="shared" si="2"/>
        <v>2.75993359558266</v>
      </c>
      <c r="U65" s="37"/>
    </row>
    <row r="66" spans="1:21">
      <c r="A66" s="15" t="s">
        <v>106</v>
      </c>
      <c r="B66" s="16"/>
      <c r="C66" s="20" t="s">
        <v>107</v>
      </c>
      <c r="D66" s="21"/>
      <c r="E66" s="21"/>
      <c r="F66" s="21"/>
      <c r="G66" s="21"/>
      <c r="H66" s="21"/>
      <c r="I66" s="21"/>
      <c r="J66" s="21"/>
      <c r="K66" s="39"/>
      <c r="L66" s="36">
        <v>7</v>
      </c>
      <c r="M66" s="37"/>
      <c r="N66" s="36">
        <v>7</v>
      </c>
      <c r="O66" s="37"/>
      <c r="P66" s="36">
        <v>4</v>
      </c>
      <c r="Q66" s="37"/>
      <c r="R66" s="36">
        <v>3</v>
      </c>
      <c r="S66" s="37"/>
      <c r="T66" s="36">
        <f t="shared" si="2"/>
        <v>4.88462187869351</v>
      </c>
      <c r="U66" s="37"/>
    </row>
    <row r="67" spans="1:21">
      <c r="A67" s="15">
        <v>1.5</v>
      </c>
      <c r="B67" s="16"/>
      <c r="C67" s="18" t="s">
        <v>108</v>
      </c>
      <c r="D67" s="19"/>
      <c r="E67" s="19"/>
      <c r="F67" s="19"/>
      <c r="G67" s="19"/>
      <c r="H67" s="19"/>
      <c r="I67" s="19"/>
      <c r="J67" s="19"/>
      <c r="K67" s="38"/>
      <c r="L67" s="36">
        <v>7</v>
      </c>
      <c r="M67" s="37"/>
      <c r="N67" s="36">
        <v>7</v>
      </c>
      <c r="O67" s="37"/>
      <c r="P67" s="36">
        <v>5</v>
      </c>
      <c r="Q67" s="37"/>
      <c r="R67" s="36">
        <v>4</v>
      </c>
      <c r="S67" s="37"/>
      <c r="T67" s="36">
        <f t="shared" si="2"/>
        <v>3.95562426116213</v>
      </c>
      <c r="U67" s="37"/>
    </row>
    <row r="68" spans="1:21">
      <c r="A68" s="15" t="s">
        <v>109</v>
      </c>
      <c r="B68" s="16"/>
      <c r="C68" s="20" t="s">
        <v>110</v>
      </c>
      <c r="D68" s="21"/>
      <c r="E68" s="21"/>
      <c r="F68" s="21"/>
      <c r="G68" s="21"/>
      <c r="H68" s="21"/>
      <c r="I68" s="21"/>
      <c r="J68" s="21"/>
      <c r="K68" s="39"/>
      <c r="L68" s="36">
        <v>7</v>
      </c>
      <c r="M68" s="37"/>
      <c r="N68" s="36">
        <v>7</v>
      </c>
      <c r="O68" s="37"/>
      <c r="P68" s="36">
        <v>8</v>
      </c>
      <c r="Q68" s="37"/>
      <c r="R68" s="36">
        <v>7</v>
      </c>
      <c r="S68" s="37"/>
      <c r="T68" s="36">
        <f t="shared" si="2"/>
        <v>2.46108504258618</v>
      </c>
      <c r="U68" s="37"/>
    </row>
    <row r="69" spans="1:21">
      <c r="A69" s="15" t="s">
        <v>111</v>
      </c>
      <c r="B69" s="16"/>
      <c r="C69" s="20" t="s">
        <v>112</v>
      </c>
      <c r="D69" s="21"/>
      <c r="E69" s="21"/>
      <c r="F69" s="21"/>
      <c r="G69" s="21"/>
      <c r="H69" s="21"/>
      <c r="I69" s="21"/>
      <c r="J69" s="21"/>
      <c r="K69" s="39"/>
      <c r="L69" s="36">
        <v>7</v>
      </c>
      <c r="M69" s="37"/>
      <c r="N69" s="36">
        <v>7</v>
      </c>
      <c r="O69" s="37"/>
      <c r="P69" s="36">
        <v>8</v>
      </c>
      <c r="Q69" s="37"/>
      <c r="R69" s="36">
        <v>7</v>
      </c>
      <c r="S69" s="37"/>
      <c r="T69" s="36">
        <f t="shared" si="2"/>
        <v>2.51390747130484</v>
      </c>
      <c r="U69" s="37"/>
    </row>
    <row r="70" spans="1:21">
      <c r="A70" s="15" t="s">
        <v>113</v>
      </c>
      <c r="B70" s="16"/>
      <c r="C70" s="20" t="s">
        <v>114</v>
      </c>
      <c r="D70" s="21"/>
      <c r="E70" s="21"/>
      <c r="F70" s="21"/>
      <c r="G70" s="21"/>
      <c r="H70" s="21"/>
      <c r="I70" s="21"/>
      <c r="J70" s="21"/>
      <c r="K70" s="39"/>
      <c r="L70" s="36">
        <v>7</v>
      </c>
      <c r="M70" s="37"/>
      <c r="N70" s="36">
        <v>7</v>
      </c>
      <c r="O70" s="37"/>
      <c r="P70" s="36">
        <v>5</v>
      </c>
      <c r="Q70" s="37"/>
      <c r="R70" s="36">
        <v>9</v>
      </c>
      <c r="S70" s="37"/>
      <c r="T70" s="36">
        <f t="shared" si="2"/>
        <v>2.80227950130863</v>
      </c>
      <c r="U70" s="37"/>
    </row>
    <row r="71" spans="1:21">
      <c r="A71" s="15" t="s">
        <v>115</v>
      </c>
      <c r="B71" s="16"/>
      <c r="C71" s="20" t="s">
        <v>116</v>
      </c>
      <c r="D71" s="21"/>
      <c r="E71" s="21"/>
      <c r="F71" s="21"/>
      <c r="G71" s="21"/>
      <c r="H71" s="21"/>
      <c r="I71" s="21"/>
      <c r="J71" s="21"/>
      <c r="K71" s="39"/>
      <c r="L71" s="36">
        <v>7</v>
      </c>
      <c r="M71" s="37"/>
      <c r="N71" s="36">
        <v>7</v>
      </c>
      <c r="O71" s="37"/>
      <c r="P71" s="36">
        <v>8</v>
      </c>
      <c r="Q71" s="37"/>
      <c r="R71" s="36">
        <v>8</v>
      </c>
      <c r="S71" s="37"/>
      <c r="T71" s="36">
        <f t="shared" si="2"/>
        <v>2.52012028483916</v>
      </c>
      <c r="U71" s="37"/>
    </row>
    <row r="72" spans="1:21">
      <c r="A72" s="15" t="s">
        <v>117</v>
      </c>
      <c r="B72" s="16"/>
      <c r="C72" s="20" t="s">
        <v>118</v>
      </c>
      <c r="D72" s="21"/>
      <c r="E72" s="21"/>
      <c r="F72" s="21"/>
      <c r="G72" s="21"/>
      <c r="H72" s="21"/>
      <c r="I72" s="21"/>
      <c r="J72" s="21"/>
      <c r="K72" s="39"/>
      <c r="L72" s="36">
        <v>7</v>
      </c>
      <c r="M72" s="37"/>
      <c r="N72" s="36">
        <v>7</v>
      </c>
      <c r="O72" s="37"/>
      <c r="P72" s="36">
        <v>8</v>
      </c>
      <c r="Q72" s="37"/>
      <c r="R72" s="36">
        <v>9</v>
      </c>
      <c r="S72" s="37"/>
      <c r="T72" s="36">
        <f t="shared" si="2"/>
        <v>2.45198695494625</v>
      </c>
      <c r="U72" s="37"/>
    </row>
    <row r="73" spans="1:21">
      <c r="A73" s="15">
        <v>1.6</v>
      </c>
      <c r="B73" s="16"/>
      <c r="C73" s="18" t="s">
        <v>119</v>
      </c>
      <c r="D73" s="19"/>
      <c r="E73" s="19"/>
      <c r="F73" s="19"/>
      <c r="G73" s="19"/>
      <c r="H73" s="19"/>
      <c r="I73" s="19"/>
      <c r="J73" s="19"/>
      <c r="K73" s="38"/>
      <c r="L73" s="36">
        <v>7</v>
      </c>
      <c r="M73" s="37"/>
      <c r="N73" s="36">
        <v>7</v>
      </c>
      <c r="O73" s="37"/>
      <c r="P73" s="36">
        <v>6</v>
      </c>
      <c r="Q73" s="37"/>
      <c r="R73" s="36">
        <v>7</v>
      </c>
      <c r="S73" s="37"/>
      <c r="T73" s="36">
        <f t="shared" si="2"/>
        <v>3.3078456589567</v>
      </c>
      <c r="U73" s="37"/>
    </row>
    <row r="74" spans="1:21">
      <c r="A74" s="15" t="s">
        <v>120</v>
      </c>
      <c r="B74" s="16"/>
      <c r="C74" s="20" t="s">
        <v>121</v>
      </c>
      <c r="D74" s="21"/>
      <c r="E74" s="21"/>
      <c r="F74" s="21"/>
      <c r="G74" s="21"/>
      <c r="H74" s="21"/>
      <c r="I74" s="21"/>
      <c r="J74" s="21"/>
      <c r="K74" s="39"/>
      <c r="L74" s="36">
        <v>7</v>
      </c>
      <c r="M74" s="37"/>
      <c r="N74" s="36">
        <v>7</v>
      </c>
      <c r="O74" s="37"/>
      <c r="P74" s="36">
        <v>7</v>
      </c>
      <c r="Q74" s="37"/>
      <c r="R74" s="36">
        <v>8</v>
      </c>
      <c r="S74" s="37"/>
      <c r="T74" s="36">
        <f t="shared" si="2"/>
        <v>2.97747819420537</v>
      </c>
      <c r="U74" s="37"/>
    </row>
    <row r="75" spans="1:21">
      <c r="A75" s="15" t="s">
        <v>122</v>
      </c>
      <c r="B75" s="16"/>
      <c r="C75" s="20" t="s">
        <v>123</v>
      </c>
      <c r="D75" s="21"/>
      <c r="E75" s="21"/>
      <c r="F75" s="21"/>
      <c r="G75" s="21"/>
      <c r="H75" s="21"/>
      <c r="I75" s="21"/>
      <c r="J75" s="21"/>
      <c r="K75" s="39"/>
      <c r="L75" s="36">
        <v>7</v>
      </c>
      <c r="M75" s="37"/>
      <c r="N75" s="36">
        <v>7</v>
      </c>
      <c r="O75" s="37"/>
      <c r="P75" s="36">
        <v>6</v>
      </c>
      <c r="Q75" s="37"/>
      <c r="R75" s="36">
        <v>8</v>
      </c>
      <c r="S75" s="37"/>
      <c r="T75" s="36">
        <f t="shared" si="2"/>
        <v>3.34168927112198</v>
      </c>
      <c r="U75" s="37"/>
    </row>
    <row r="76" spans="1:21">
      <c r="A76" s="22" t="s">
        <v>124</v>
      </c>
      <c r="B76" s="23"/>
      <c r="C76" s="24" t="s">
        <v>125</v>
      </c>
      <c r="D76" s="25"/>
      <c r="E76" s="25"/>
      <c r="F76" s="25"/>
      <c r="G76" s="25"/>
      <c r="H76" s="25"/>
      <c r="I76" s="25"/>
      <c r="J76" s="25"/>
      <c r="K76" s="40"/>
      <c r="L76" s="36">
        <v>7</v>
      </c>
      <c r="M76" s="37"/>
      <c r="N76" s="36">
        <v>7</v>
      </c>
      <c r="O76" s="37"/>
      <c r="P76" s="36">
        <v>6</v>
      </c>
      <c r="Q76" s="37"/>
      <c r="R76" s="36">
        <v>8</v>
      </c>
      <c r="S76" s="37"/>
      <c r="T76" s="36">
        <f t="shared" si="2"/>
        <v>3.47130478016905</v>
      </c>
      <c r="U76" s="37"/>
    </row>
    <row r="77" spans="1:21">
      <c r="A77" s="22" t="s">
        <v>126</v>
      </c>
      <c r="B77" s="23"/>
      <c r="C77" s="24" t="s">
        <v>127</v>
      </c>
      <c r="D77" s="25"/>
      <c r="E77" s="25"/>
      <c r="F77" s="25"/>
      <c r="G77" s="25"/>
      <c r="H77" s="25"/>
      <c r="I77" s="25"/>
      <c r="J77" s="25"/>
      <c r="K77" s="40"/>
      <c r="L77" s="36">
        <v>7</v>
      </c>
      <c r="M77" s="37"/>
      <c r="N77" s="36">
        <v>7</v>
      </c>
      <c r="O77" s="37"/>
      <c r="P77" s="36">
        <v>8</v>
      </c>
      <c r="Q77" s="37"/>
      <c r="R77" s="36">
        <v>7</v>
      </c>
      <c r="S77" s="37"/>
      <c r="T77" s="36">
        <f t="shared" si="2"/>
        <v>3.37817889658101</v>
      </c>
      <c r="U77" s="37"/>
    </row>
    <row r="78" spans="1:21">
      <c r="A78" s="22">
        <v>2</v>
      </c>
      <c r="B78" s="23"/>
      <c r="C78" s="46" t="s">
        <v>128</v>
      </c>
      <c r="D78" s="47"/>
      <c r="E78" s="47"/>
      <c r="F78" s="47"/>
      <c r="G78" s="47"/>
      <c r="H78" s="47"/>
      <c r="I78" s="47"/>
      <c r="J78" s="47"/>
      <c r="K78" s="23"/>
      <c r="L78" s="36"/>
      <c r="M78" s="37"/>
      <c r="N78" s="36"/>
      <c r="O78" s="37"/>
      <c r="P78" s="36"/>
      <c r="Q78" s="37"/>
      <c r="R78" s="36"/>
      <c r="S78" s="37"/>
      <c r="T78" s="36"/>
      <c r="U78" s="37"/>
    </row>
    <row r="79" spans="1:21">
      <c r="A79" s="22">
        <v>2.1</v>
      </c>
      <c r="B79" s="23"/>
      <c r="C79" s="46" t="s">
        <v>129</v>
      </c>
      <c r="D79" s="47"/>
      <c r="E79" s="47"/>
      <c r="F79" s="47"/>
      <c r="G79" s="47"/>
      <c r="H79" s="47"/>
      <c r="I79" s="47"/>
      <c r="J79" s="47"/>
      <c r="K79" s="23"/>
      <c r="L79" s="36"/>
      <c r="M79" s="37"/>
      <c r="N79" s="36"/>
      <c r="O79" s="37"/>
      <c r="P79" s="36"/>
      <c r="Q79" s="37"/>
      <c r="R79" s="36"/>
      <c r="S79" s="37"/>
      <c r="T79" s="36"/>
      <c r="U79" s="37"/>
    </row>
    <row r="80" spans="1:21">
      <c r="A80" s="46" t="s">
        <v>130</v>
      </c>
      <c r="B80" s="23"/>
      <c r="C80" s="46" t="s">
        <v>131</v>
      </c>
      <c r="D80" s="47"/>
      <c r="E80" s="47"/>
      <c r="F80" s="47"/>
      <c r="G80" s="47"/>
      <c r="H80" s="47"/>
      <c r="I80" s="47"/>
      <c r="J80" s="47"/>
      <c r="K80" s="23"/>
      <c r="L80" s="36">
        <v>8</v>
      </c>
      <c r="M80" s="37"/>
      <c r="N80" s="36">
        <v>2</v>
      </c>
      <c r="O80" s="37"/>
      <c r="P80" s="36">
        <v>5</v>
      </c>
      <c r="Q80" s="37"/>
      <c r="R80" s="36">
        <v>6</v>
      </c>
      <c r="S80" s="37"/>
      <c r="T80" s="36">
        <f t="shared" ref="T80:T86" si="3">(L80+N80)/(SUM(L80:L141)+SUM(N80:N141))/(((P80/SUM(P80:P141)))+((R80/SUM(R80:R141))))</f>
        <v>0.577784891165173</v>
      </c>
      <c r="U80" s="37"/>
    </row>
    <row r="81" spans="1:21">
      <c r="A81" s="46" t="s">
        <v>132</v>
      </c>
      <c r="B81" s="23"/>
      <c r="C81" s="46" t="s">
        <v>133</v>
      </c>
      <c r="D81" s="47"/>
      <c r="E81" s="47"/>
      <c r="F81" s="47"/>
      <c r="G81" s="47"/>
      <c r="H81" s="47"/>
      <c r="I81" s="47"/>
      <c r="J81" s="47"/>
      <c r="K81" s="23"/>
      <c r="L81" s="36">
        <v>8</v>
      </c>
      <c r="M81" s="37"/>
      <c r="N81" s="36">
        <v>2</v>
      </c>
      <c r="O81" s="37"/>
      <c r="P81" s="36">
        <v>5</v>
      </c>
      <c r="Q81" s="37"/>
      <c r="R81" s="36">
        <v>5</v>
      </c>
      <c r="S81" s="37"/>
      <c r="T81" s="36">
        <f t="shared" si="3"/>
        <v>0.636233766233766</v>
      </c>
      <c r="U81" s="37"/>
    </row>
    <row r="82" spans="1:21">
      <c r="A82" s="46" t="s">
        <v>134</v>
      </c>
      <c r="B82" s="23"/>
      <c r="C82" s="46" t="s">
        <v>135</v>
      </c>
      <c r="D82" s="47"/>
      <c r="E82" s="47"/>
      <c r="F82" s="47"/>
      <c r="G82" s="47"/>
      <c r="H82" s="47"/>
      <c r="I82" s="47"/>
      <c r="J82" s="47"/>
      <c r="K82" s="23"/>
      <c r="L82" s="36">
        <v>8</v>
      </c>
      <c r="M82" s="37"/>
      <c r="N82" s="36">
        <v>2</v>
      </c>
      <c r="O82" s="37"/>
      <c r="P82" s="36">
        <v>8</v>
      </c>
      <c r="Q82" s="37"/>
      <c r="R82" s="36">
        <v>4</v>
      </c>
      <c r="S82" s="37"/>
      <c r="T82" s="36">
        <f t="shared" si="3"/>
        <v>0.529736467236467</v>
      </c>
      <c r="U82" s="37"/>
    </row>
    <row r="83" spans="1:21">
      <c r="A83" s="46" t="s">
        <v>136</v>
      </c>
      <c r="B83" s="48"/>
      <c r="C83" s="46" t="s">
        <v>137</v>
      </c>
      <c r="D83" s="49"/>
      <c r="E83" s="49"/>
      <c r="F83" s="49"/>
      <c r="G83" s="49"/>
      <c r="H83" s="49"/>
      <c r="I83" s="49"/>
      <c r="J83" s="49"/>
      <c r="K83" s="48"/>
      <c r="L83" s="36">
        <v>8</v>
      </c>
      <c r="M83" s="37"/>
      <c r="N83" s="36">
        <v>2</v>
      </c>
      <c r="O83" s="37"/>
      <c r="P83" s="36">
        <v>6</v>
      </c>
      <c r="Q83" s="37"/>
      <c r="R83" s="36">
        <v>7</v>
      </c>
      <c r="S83" s="37"/>
      <c r="T83" s="36">
        <f t="shared" si="3"/>
        <v>0.492590051457976</v>
      </c>
      <c r="U83" s="37"/>
    </row>
    <row r="84" spans="1:21">
      <c r="A84" s="46" t="s">
        <v>138</v>
      </c>
      <c r="B84" s="23"/>
      <c r="C84" s="46" t="s">
        <v>139</v>
      </c>
      <c r="D84" s="47"/>
      <c r="E84" s="47"/>
      <c r="F84" s="47"/>
      <c r="G84" s="47"/>
      <c r="H84" s="47"/>
      <c r="I84" s="47"/>
      <c r="J84" s="47"/>
      <c r="K84" s="23"/>
      <c r="L84" s="36">
        <v>8</v>
      </c>
      <c r="M84" s="37"/>
      <c r="N84" s="36">
        <v>2</v>
      </c>
      <c r="O84" s="37"/>
      <c r="P84" s="36">
        <v>7</v>
      </c>
      <c r="Q84" s="37"/>
      <c r="R84" s="36">
        <v>8</v>
      </c>
      <c r="S84" s="37"/>
      <c r="T84" s="36">
        <f t="shared" si="3"/>
        <v>0.426675211959291</v>
      </c>
      <c r="U84" s="37"/>
    </row>
    <row r="85" spans="1:21">
      <c r="A85" s="46" t="s">
        <v>140</v>
      </c>
      <c r="B85" s="23"/>
      <c r="C85" s="46" t="s">
        <v>141</v>
      </c>
      <c r="D85" s="47"/>
      <c r="E85" s="47"/>
      <c r="F85" s="47"/>
      <c r="G85" s="47"/>
      <c r="H85" s="47"/>
      <c r="I85" s="47"/>
      <c r="J85" s="47"/>
      <c r="K85" s="23"/>
      <c r="L85" s="36">
        <v>8</v>
      </c>
      <c r="M85" s="37"/>
      <c r="N85" s="36">
        <v>2</v>
      </c>
      <c r="O85" s="37"/>
      <c r="P85" s="36">
        <v>3</v>
      </c>
      <c r="Q85" s="37"/>
      <c r="R85" s="36">
        <v>5</v>
      </c>
      <c r="S85" s="37"/>
      <c r="T85" s="36">
        <f t="shared" si="3"/>
        <v>0.799989392975119</v>
      </c>
      <c r="U85" s="37"/>
    </row>
    <row r="86" spans="1:21">
      <c r="A86" s="46" t="s">
        <v>142</v>
      </c>
      <c r="B86" s="23"/>
      <c r="C86" s="46" t="s">
        <v>143</v>
      </c>
      <c r="D86" s="47"/>
      <c r="E86" s="47"/>
      <c r="F86" s="47"/>
      <c r="G86" s="47"/>
      <c r="H86" s="47"/>
      <c r="I86" s="47"/>
      <c r="J86" s="47"/>
      <c r="K86" s="23"/>
      <c r="L86" s="36">
        <v>9</v>
      </c>
      <c r="M86" s="37"/>
      <c r="N86" s="36">
        <v>1</v>
      </c>
      <c r="O86" s="37"/>
      <c r="P86" s="36">
        <v>9</v>
      </c>
      <c r="Q86" s="37"/>
      <c r="R86" s="36">
        <v>7</v>
      </c>
      <c r="S86" s="37"/>
      <c r="T86" s="36">
        <f t="shared" si="3"/>
        <v>0.400373105324524</v>
      </c>
      <c r="U86" s="37"/>
    </row>
    <row r="87" spans="1:21">
      <c r="A87" s="46">
        <v>2.2</v>
      </c>
      <c r="B87" s="23"/>
      <c r="C87" s="46" t="s">
        <v>144</v>
      </c>
      <c r="D87" s="47"/>
      <c r="E87" s="47"/>
      <c r="F87" s="47"/>
      <c r="G87" s="47"/>
      <c r="H87" s="47"/>
      <c r="I87" s="47"/>
      <c r="J87" s="47"/>
      <c r="K87" s="23"/>
      <c r="L87" s="36"/>
      <c r="M87" s="37"/>
      <c r="N87" s="36"/>
      <c r="O87" s="37"/>
      <c r="P87" s="36"/>
      <c r="Q87" s="37"/>
      <c r="R87" s="36"/>
      <c r="S87" s="37"/>
      <c r="T87" s="36"/>
      <c r="U87" s="37"/>
    </row>
    <row r="88" spans="1:21">
      <c r="A88" s="46" t="s">
        <v>145</v>
      </c>
      <c r="B88" s="48"/>
      <c r="C88" s="46" t="s">
        <v>146</v>
      </c>
      <c r="D88" s="47"/>
      <c r="E88" s="47"/>
      <c r="F88" s="47"/>
      <c r="G88" s="47"/>
      <c r="H88" s="47"/>
      <c r="I88" s="47"/>
      <c r="J88" s="47"/>
      <c r="K88" s="23"/>
      <c r="L88" s="36">
        <v>8</v>
      </c>
      <c r="M88" s="37"/>
      <c r="N88" s="36">
        <v>2</v>
      </c>
      <c r="O88" s="37"/>
      <c r="P88" s="36">
        <v>5</v>
      </c>
      <c r="Q88" s="37"/>
      <c r="R88" s="36">
        <v>7</v>
      </c>
      <c r="S88" s="37"/>
      <c r="T88" s="36">
        <f t="shared" ref="T88:T99" si="4">(L88+N88)/(SUM(L88:L149)+SUM(N88:N149))/(((P88/SUM(P88:P149)))+((R88/SUM(R88:R149))))</f>
        <v>0.533822824001395</v>
      </c>
      <c r="U88" s="37"/>
    </row>
    <row r="89" spans="1:21">
      <c r="A89" s="46" t="s">
        <v>147</v>
      </c>
      <c r="B89" s="48"/>
      <c r="C89" s="46" t="s">
        <v>148</v>
      </c>
      <c r="D89" s="47"/>
      <c r="E89" s="47"/>
      <c r="F89" s="47"/>
      <c r="G89" s="47"/>
      <c r="H89" s="47"/>
      <c r="I89" s="47"/>
      <c r="J89" s="47"/>
      <c r="K89" s="23"/>
      <c r="L89" s="36">
        <v>8</v>
      </c>
      <c r="M89" s="37"/>
      <c r="N89" s="36">
        <v>2</v>
      </c>
      <c r="O89" s="37"/>
      <c r="P89" s="36">
        <v>6</v>
      </c>
      <c r="Q89" s="37"/>
      <c r="R89" s="36">
        <v>5</v>
      </c>
      <c r="S89" s="37"/>
      <c r="T89" s="36">
        <f t="shared" si="4"/>
        <v>0.580425783560024</v>
      </c>
      <c r="U89" s="37"/>
    </row>
    <row r="90" spans="1:21">
      <c r="A90" s="46" t="s">
        <v>149</v>
      </c>
      <c r="B90" s="48"/>
      <c r="C90" s="46" t="s">
        <v>150</v>
      </c>
      <c r="D90" s="47"/>
      <c r="E90" s="47"/>
      <c r="F90" s="47"/>
      <c r="G90" s="47"/>
      <c r="H90" s="47"/>
      <c r="I90" s="47"/>
      <c r="J90" s="47"/>
      <c r="K90" s="23"/>
      <c r="L90" s="36">
        <v>8</v>
      </c>
      <c r="M90" s="37"/>
      <c r="N90" s="36">
        <v>2</v>
      </c>
      <c r="O90" s="37"/>
      <c r="P90" s="36">
        <v>5</v>
      </c>
      <c r="Q90" s="37"/>
      <c r="R90" s="36">
        <v>5</v>
      </c>
      <c r="S90" s="37"/>
      <c r="T90" s="36">
        <f t="shared" si="4"/>
        <v>0.64127589005328</v>
      </c>
      <c r="U90" s="37"/>
    </row>
    <row r="91" spans="1:21">
      <c r="A91" s="46" t="s">
        <v>151</v>
      </c>
      <c r="B91" s="48"/>
      <c r="C91" s="46" t="s">
        <v>152</v>
      </c>
      <c r="D91" s="47"/>
      <c r="E91" s="47"/>
      <c r="F91" s="47"/>
      <c r="G91" s="47"/>
      <c r="H91" s="47"/>
      <c r="I91" s="47"/>
      <c r="J91" s="47"/>
      <c r="K91" s="23"/>
      <c r="L91" s="36">
        <v>8</v>
      </c>
      <c r="M91" s="37"/>
      <c r="N91" s="36">
        <v>2</v>
      </c>
      <c r="O91" s="37"/>
      <c r="P91" s="36">
        <v>7</v>
      </c>
      <c r="Q91" s="37"/>
      <c r="R91" s="36">
        <v>8</v>
      </c>
      <c r="S91" s="37"/>
      <c r="T91" s="36">
        <f t="shared" si="4"/>
        <v>0.430094160483918</v>
      </c>
      <c r="U91" s="37"/>
    </row>
    <row r="92" spans="1:21">
      <c r="A92" s="46" t="s">
        <v>153</v>
      </c>
      <c r="B92" s="23"/>
      <c r="C92" s="46" t="s">
        <v>154</v>
      </c>
      <c r="D92" s="47"/>
      <c r="E92" s="47"/>
      <c r="F92" s="47"/>
      <c r="G92" s="47"/>
      <c r="H92" s="47"/>
      <c r="I92" s="47"/>
      <c r="J92" s="47"/>
      <c r="K92" s="23"/>
      <c r="L92" s="36">
        <v>8</v>
      </c>
      <c r="M92" s="37"/>
      <c r="N92" s="36">
        <v>2</v>
      </c>
      <c r="O92" s="37"/>
      <c r="P92" s="36">
        <v>8</v>
      </c>
      <c r="Q92" s="37"/>
      <c r="R92" s="36">
        <v>7</v>
      </c>
      <c r="S92" s="37"/>
      <c r="T92" s="36">
        <f t="shared" si="4"/>
        <v>0.42752688172043</v>
      </c>
      <c r="U92" s="37"/>
    </row>
    <row r="93" spans="1:21">
      <c r="A93" s="46" t="s">
        <v>155</v>
      </c>
      <c r="B93" s="23"/>
      <c r="C93" s="46" t="s">
        <v>156</v>
      </c>
      <c r="D93" s="47"/>
      <c r="E93" s="47"/>
      <c r="F93" s="47"/>
      <c r="G93" s="47"/>
      <c r="H93" s="47"/>
      <c r="I93" s="47"/>
      <c r="J93" s="47"/>
      <c r="K93" s="23"/>
      <c r="L93" s="36">
        <v>8</v>
      </c>
      <c r="M93" s="37"/>
      <c r="N93" s="36">
        <v>2</v>
      </c>
      <c r="O93" s="37"/>
      <c r="P93" s="36">
        <v>8</v>
      </c>
      <c r="Q93" s="37"/>
      <c r="R93" s="36">
        <v>8</v>
      </c>
      <c r="S93" s="37"/>
      <c r="T93" s="36">
        <f t="shared" si="4"/>
        <v>0.39970531244954</v>
      </c>
      <c r="U93" s="37"/>
    </row>
    <row r="94" spans="1:21">
      <c r="A94" s="46" t="s">
        <v>157</v>
      </c>
      <c r="B94" s="23"/>
      <c r="C94" s="46" t="s">
        <v>158</v>
      </c>
      <c r="D94" s="47"/>
      <c r="E94" s="47"/>
      <c r="F94" s="47"/>
      <c r="G94" s="47"/>
      <c r="H94" s="47"/>
      <c r="I94" s="47"/>
      <c r="J94" s="47"/>
      <c r="K94" s="23"/>
      <c r="L94" s="36">
        <v>8</v>
      </c>
      <c r="M94" s="37"/>
      <c r="N94" s="36">
        <v>2</v>
      </c>
      <c r="O94" s="37"/>
      <c r="P94" s="36">
        <v>5</v>
      </c>
      <c r="Q94" s="37"/>
      <c r="R94" s="36">
        <v>6</v>
      </c>
      <c r="S94" s="37"/>
      <c r="T94" s="36">
        <f t="shared" si="4"/>
        <v>0.579048858118625</v>
      </c>
      <c r="U94" s="37"/>
    </row>
    <row r="95" spans="1:21">
      <c r="A95" s="46" t="s">
        <v>159</v>
      </c>
      <c r="B95" s="23"/>
      <c r="C95" s="46" t="s">
        <v>160</v>
      </c>
      <c r="D95" s="47"/>
      <c r="E95" s="47"/>
      <c r="F95" s="47"/>
      <c r="G95" s="47"/>
      <c r="H95" s="47"/>
      <c r="I95" s="47"/>
      <c r="J95" s="47"/>
      <c r="K95" s="23"/>
      <c r="L95" s="36">
        <v>8</v>
      </c>
      <c r="M95" s="37"/>
      <c r="N95" s="36">
        <v>2</v>
      </c>
      <c r="O95" s="37"/>
      <c r="P95" s="36">
        <v>9</v>
      </c>
      <c r="Q95" s="37"/>
      <c r="R95" s="36">
        <v>8</v>
      </c>
      <c r="S95" s="37"/>
      <c r="T95" s="36">
        <f t="shared" si="4"/>
        <v>0.374808156106117</v>
      </c>
      <c r="U95" s="37"/>
    </row>
    <row r="96" spans="1:21">
      <c r="A96" s="46" t="s">
        <v>161</v>
      </c>
      <c r="B96" s="23"/>
      <c r="C96" s="46" t="s">
        <v>162</v>
      </c>
      <c r="D96" s="47"/>
      <c r="E96" s="47"/>
      <c r="F96" s="47"/>
      <c r="G96" s="47"/>
      <c r="H96" s="47"/>
      <c r="I96" s="47"/>
      <c r="J96" s="47"/>
      <c r="K96" s="23"/>
      <c r="L96" s="36">
        <v>9</v>
      </c>
      <c r="M96" s="37"/>
      <c r="N96" s="36">
        <v>1</v>
      </c>
      <c r="O96" s="37"/>
      <c r="P96" s="36">
        <v>6</v>
      </c>
      <c r="Q96" s="37"/>
      <c r="R96" s="36">
        <v>4</v>
      </c>
      <c r="S96" s="37"/>
      <c r="T96" s="36">
        <f t="shared" si="4"/>
        <v>0.629972109391086</v>
      </c>
      <c r="U96" s="37"/>
    </row>
    <row r="97" spans="1:21">
      <c r="A97" s="46" t="s">
        <v>163</v>
      </c>
      <c r="B97" s="23"/>
      <c r="C97" s="46" t="s">
        <v>164</v>
      </c>
      <c r="D97" s="47"/>
      <c r="E97" s="47"/>
      <c r="F97" s="47"/>
      <c r="G97" s="47"/>
      <c r="H97" s="47"/>
      <c r="I97" s="47"/>
      <c r="J97" s="47"/>
      <c r="K97" s="23"/>
      <c r="L97" s="36">
        <v>8</v>
      </c>
      <c r="M97" s="37"/>
      <c r="N97" s="36">
        <v>2</v>
      </c>
      <c r="O97" s="37"/>
      <c r="P97" s="36">
        <v>7</v>
      </c>
      <c r="Q97" s="37"/>
      <c r="R97" s="36">
        <v>4</v>
      </c>
      <c r="S97" s="37"/>
      <c r="T97" s="36">
        <f t="shared" si="4"/>
        <v>0.574033345157857</v>
      </c>
      <c r="U97" s="37"/>
    </row>
    <row r="98" spans="1:21">
      <c r="A98" s="46" t="s">
        <v>165</v>
      </c>
      <c r="B98" s="23"/>
      <c r="C98" s="46" t="s">
        <v>166</v>
      </c>
      <c r="D98" s="47"/>
      <c r="E98" s="47"/>
      <c r="F98" s="47"/>
      <c r="G98" s="47"/>
      <c r="H98" s="47"/>
      <c r="I98" s="47"/>
      <c r="J98" s="47"/>
      <c r="K98" s="23"/>
      <c r="L98" s="36">
        <v>8</v>
      </c>
      <c r="M98" s="37"/>
      <c r="N98" s="36">
        <v>2</v>
      </c>
      <c r="O98" s="37"/>
      <c r="P98" s="36">
        <v>5</v>
      </c>
      <c r="Q98" s="37"/>
      <c r="R98" s="36">
        <v>3</v>
      </c>
      <c r="S98" s="37"/>
      <c r="T98" s="36">
        <f t="shared" si="4"/>
        <v>0.790900500561855</v>
      </c>
      <c r="U98" s="37"/>
    </row>
    <row r="99" spans="1:21">
      <c r="A99" s="46" t="s">
        <v>167</v>
      </c>
      <c r="B99" s="23"/>
      <c r="C99" s="46" t="s">
        <v>168</v>
      </c>
      <c r="D99" s="47"/>
      <c r="E99" s="47"/>
      <c r="F99" s="47"/>
      <c r="G99" s="47"/>
      <c r="H99" s="47"/>
      <c r="I99" s="47"/>
      <c r="J99" s="47"/>
      <c r="K99" s="23"/>
      <c r="L99" s="36">
        <v>8</v>
      </c>
      <c r="M99" s="37"/>
      <c r="N99" s="36">
        <v>2</v>
      </c>
      <c r="O99" s="37"/>
      <c r="P99" s="36">
        <v>5</v>
      </c>
      <c r="Q99" s="37"/>
      <c r="R99" s="36">
        <v>3</v>
      </c>
      <c r="S99" s="37"/>
      <c r="T99" s="36">
        <f t="shared" si="4"/>
        <v>0.797509446011388</v>
      </c>
      <c r="U99" s="37"/>
    </row>
    <row r="100" spans="1:21">
      <c r="A100" s="22">
        <v>2.3</v>
      </c>
      <c r="B100" s="23"/>
      <c r="C100" s="46" t="s">
        <v>169</v>
      </c>
      <c r="D100" s="47"/>
      <c r="E100" s="47"/>
      <c r="F100" s="47"/>
      <c r="G100" s="47"/>
      <c r="H100" s="47"/>
      <c r="I100" s="47"/>
      <c r="J100" s="47"/>
      <c r="K100" s="23"/>
      <c r="L100" s="36"/>
      <c r="M100" s="37"/>
      <c r="N100" s="36"/>
      <c r="O100" s="37"/>
      <c r="P100" s="36"/>
      <c r="Q100" s="37"/>
      <c r="R100" s="36"/>
      <c r="S100" s="37"/>
      <c r="T100" s="36"/>
      <c r="U100" s="37"/>
    </row>
    <row r="101" spans="1:21">
      <c r="A101" s="46" t="s">
        <v>170</v>
      </c>
      <c r="B101" s="23"/>
      <c r="C101" s="46" t="s">
        <v>171</v>
      </c>
      <c r="D101" s="47"/>
      <c r="E101" s="47"/>
      <c r="F101" s="47"/>
      <c r="G101" s="47"/>
      <c r="H101" s="47"/>
      <c r="I101" s="47"/>
      <c r="J101" s="47"/>
      <c r="K101" s="23"/>
      <c r="L101" s="36">
        <v>8</v>
      </c>
      <c r="M101" s="37"/>
      <c r="N101" s="36">
        <v>2</v>
      </c>
      <c r="O101" s="37"/>
      <c r="P101" s="36">
        <v>6</v>
      </c>
      <c r="Q101" s="37"/>
      <c r="R101" s="36">
        <v>7</v>
      </c>
      <c r="S101" s="37"/>
      <c r="T101" s="36">
        <f t="shared" ref="T101:T106" si="5">(L101+N101)/(SUM(L101:L162)+SUM(N101:N162))/(((P101/SUM(P101:P162)))+((R101/SUM(R101:R162))))</f>
        <v>0.501778435496015</v>
      </c>
      <c r="U101" s="37"/>
    </row>
    <row r="102" spans="1:21">
      <c r="A102" s="46" t="s">
        <v>172</v>
      </c>
      <c r="B102" s="23"/>
      <c r="C102" s="46" t="s">
        <v>173</v>
      </c>
      <c r="D102" s="47"/>
      <c r="E102" s="47"/>
      <c r="F102" s="47"/>
      <c r="G102" s="47"/>
      <c r="H102" s="47"/>
      <c r="I102" s="47"/>
      <c r="J102" s="47"/>
      <c r="K102" s="23"/>
      <c r="L102" s="36">
        <v>8</v>
      </c>
      <c r="M102" s="37"/>
      <c r="N102" s="36">
        <v>2</v>
      </c>
      <c r="O102" s="37"/>
      <c r="P102" s="36">
        <v>5</v>
      </c>
      <c r="Q102" s="37"/>
      <c r="R102" s="36">
        <v>6</v>
      </c>
      <c r="S102" s="37"/>
      <c r="T102" s="36">
        <f t="shared" si="5"/>
        <v>0.593385214007782</v>
      </c>
      <c r="U102" s="37"/>
    </row>
    <row r="103" spans="1:21">
      <c r="A103" s="46" t="s">
        <v>174</v>
      </c>
      <c r="B103" s="23"/>
      <c r="C103" s="46" t="s">
        <v>175</v>
      </c>
      <c r="D103" s="47"/>
      <c r="E103" s="47"/>
      <c r="F103" s="47"/>
      <c r="G103" s="47"/>
      <c r="H103" s="47"/>
      <c r="I103" s="47"/>
      <c r="J103" s="47"/>
      <c r="K103" s="23"/>
      <c r="L103" s="36">
        <v>9</v>
      </c>
      <c r="M103" s="37"/>
      <c r="N103" s="36">
        <v>1</v>
      </c>
      <c r="O103" s="37"/>
      <c r="P103" s="36">
        <v>4</v>
      </c>
      <c r="Q103" s="37"/>
      <c r="R103" s="36">
        <v>4</v>
      </c>
      <c r="S103" s="37"/>
      <c r="T103" s="36">
        <f t="shared" si="5"/>
        <v>0.816593886462882</v>
      </c>
      <c r="U103" s="37"/>
    </row>
    <row r="104" spans="1:21">
      <c r="A104" s="46" t="s">
        <v>176</v>
      </c>
      <c r="B104" s="23"/>
      <c r="C104" s="46" t="s">
        <v>177</v>
      </c>
      <c r="D104" s="47"/>
      <c r="E104" s="47"/>
      <c r="F104" s="47"/>
      <c r="G104" s="47"/>
      <c r="H104" s="47"/>
      <c r="I104" s="47"/>
      <c r="J104" s="47"/>
      <c r="K104" s="23"/>
      <c r="L104" s="36">
        <v>8</v>
      </c>
      <c r="M104" s="37"/>
      <c r="N104" s="36">
        <v>2</v>
      </c>
      <c r="O104" s="37"/>
      <c r="P104" s="36">
        <v>5</v>
      </c>
      <c r="Q104" s="37"/>
      <c r="R104" s="36">
        <v>6</v>
      </c>
      <c r="S104" s="37"/>
      <c r="T104" s="36">
        <f t="shared" si="5"/>
        <v>0.602833834263632</v>
      </c>
      <c r="U104" s="37"/>
    </row>
    <row r="105" spans="1:21">
      <c r="A105" s="46" t="s">
        <v>178</v>
      </c>
      <c r="B105" s="23"/>
      <c r="C105" s="46" t="s">
        <v>179</v>
      </c>
      <c r="D105" s="47"/>
      <c r="E105" s="47"/>
      <c r="F105" s="47"/>
      <c r="G105" s="47"/>
      <c r="H105" s="47"/>
      <c r="I105" s="47"/>
      <c r="J105" s="47"/>
      <c r="K105" s="23"/>
      <c r="L105" s="36">
        <v>8</v>
      </c>
      <c r="M105" s="37"/>
      <c r="N105" s="36">
        <v>2</v>
      </c>
      <c r="O105" s="37"/>
      <c r="P105" s="36">
        <v>8</v>
      </c>
      <c r="Q105" s="37"/>
      <c r="R105" s="36">
        <v>7</v>
      </c>
      <c r="S105" s="37"/>
      <c r="T105" s="36">
        <f t="shared" si="5"/>
        <v>0.441629258351464</v>
      </c>
      <c r="U105" s="37"/>
    </row>
    <row r="106" spans="1:21">
      <c r="A106" s="46" t="s">
        <v>180</v>
      </c>
      <c r="B106" s="23"/>
      <c r="C106" s="46" t="s">
        <v>181</v>
      </c>
      <c r="D106" s="47"/>
      <c r="E106" s="47"/>
      <c r="F106" s="47"/>
      <c r="G106" s="47"/>
      <c r="H106" s="47"/>
      <c r="I106" s="47"/>
      <c r="J106" s="47"/>
      <c r="K106" s="23"/>
      <c r="L106" s="36">
        <v>8</v>
      </c>
      <c r="M106" s="37"/>
      <c r="N106" s="36">
        <v>2</v>
      </c>
      <c r="O106" s="37"/>
      <c r="P106" s="36">
        <v>9</v>
      </c>
      <c r="Q106" s="37"/>
      <c r="R106" s="36">
        <v>7</v>
      </c>
      <c r="S106" s="37"/>
      <c r="T106" s="36">
        <f t="shared" si="5"/>
        <v>0.411134530791789</v>
      </c>
      <c r="U106" s="37"/>
    </row>
    <row r="107" spans="1:21">
      <c r="A107" s="22">
        <v>2.4</v>
      </c>
      <c r="B107" s="23"/>
      <c r="C107" s="46" t="s">
        <v>182</v>
      </c>
      <c r="D107" s="47"/>
      <c r="E107" s="47"/>
      <c r="F107" s="47"/>
      <c r="G107" s="47"/>
      <c r="H107" s="47"/>
      <c r="I107" s="47"/>
      <c r="J107" s="47"/>
      <c r="K107" s="23"/>
      <c r="L107" s="36"/>
      <c r="M107" s="37"/>
      <c r="N107" s="36"/>
      <c r="O107" s="37"/>
      <c r="P107" s="36"/>
      <c r="Q107" s="37"/>
      <c r="R107" s="36"/>
      <c r="S107" s="37"/>
      <c r="T107" s="36"/>
      <c r="U107" s="37"/>
    </row>
    <row r="108" spans="1:21">
      <c r="A108" s="46" t="s">
        <v>183</v>
      </c>
      <c r="B108" s="23"/>
      <c r="C108" s="46" t="s">
        <v>184</v>
      </c>
      <c r="D108" s="47"/>
      <c r="E108" s="47"/>
      <c r="F108" s="47"/>
      <c r="G108" s="47"/>
      <c r="H108" s="47"/>
      <c r="I108" s="47"/>
      <c r="J108" s="47"/>
      <c r="K108" s="23"/>
      <c r="L108" s="36">
        <v>7</v>
      </c>
      <c r="M108" s="37"/>
      <c r="N108" s="36">
        <v>3</v>
      </c>
      <c r="O108" s="37"/>
      <c r="P108" s="36">
        <v>7</v>
      </c>
      <c r="Q108" s="37"/>
      <c r="R108" s="36">
        <v>7</v>
      </c>
      <c r="S108" s="37"/>
      <c r="T108" s="36">
        <f t="shared" ref="T108:T113" si="6">(L108+N108)/(SUM(L108:L169)+SUM(N108:N169))/(((P108/SUM(P108:P169)))+((R108/SUM(R108:R169))))</f>
        <v>0.468916598897624</v>
      </c>
      <c r="U108" s="37"/>
    </row>
    <row r="109" spans="1:21">
      <c r="A109" s="46" t="s">
        <v>185</v>
      </c>
      <c r="B109" s="23"/>
      <c r="C109" s="46" t="s">
        <v>186</v>
      </c>
      <c r="D109" s="47"/>
      <c r="E109" s="47"/>
      <c r="F109" s="47"/>
      <c r="G109" s="47"/>
      <c r="H109" s="47"/>
      <c r="I109" s="47"/>
      <c r="J109" s="47"/>
      <c r="K109" s="23"/>
      <c r="L109" s="36">
        <v>8</v>
      </c>
      <c r="M109" s="37"/>
      <c r="N109" s="36">
        <v>2</v>
      </c>
      <c r="O109" s="37"/>
      <c r="P109" s="36">
        <v>8</v>
      </c>
      <c r="Q109" s="37"/>
      <c r="R109" s="36">
        <v>8</v>
      </c>
      <c r="S109" s="37"/>
      <c r="T109" s="36">
        <f t="shared" si="6"/>
        <v>0.409359137055838</v>
      </c>
      <c r="U109" s="37"/>
    </row>
    <row r="110" spans="1:21">
      <c r="A110" s="46" t="s">
        <v>187</v>
      </c>
      <c r="B110" s="23"/>
      <c r="C110" s="46" t="s">
        <v>188</v>
      </c>
      <c r="D110" s="47"/>
      <c r="E110" s="47"/>
      <c r="F110" s="47"/>
      <c r="G110" s="47"/>
      <c r="H110" s="47"/>
      <c r="I110" s="47"/>
      <c r="J110" s="47"/>
      <c r="K110" s="23"/>
      <c r="L110" s="36">
        <v>8</v>
      </c>
      <c r="M110" s="37"/>
      <c r="N110" s="36">
        <v>2</v>
      </c>
      <c r="O110" s="37"/>
      <c r="P110" s="36">
        <v>4</v>
      </c>
      <c r="Q110" s="37"/>
      <c r="R110" s="36">
        <v>4</v>
      </c>
      <c r="S110" s="37"/>
      <c r="T110" s="36">
        <f t="shared" si="6"/>
        <v>0.812374566684911</v>
      </c>
      <c r="U110" s="37"/>
    </row>
    <row r="111" spans="1:21">
      <c r="A111" s="46" t="s">
        <v>189</v>
      </c>
      <c r="B111" s="23"/>
      <c r="C111" s="46" t="s">
        <v>190</v>
      </c>
      <c r="D111" s="47"/>
      <c r="E111" s="47"/>
      <c r="F111" s="47"/>
      <c r="G111" s="47"/>
      <c r="H111" s="47"/>
      <c r="I111" s="47"/>
      <c r="J111" s="47"/>
      <c r="K111" s="23"/>
      <c r="L111" s="36">
        <v>8</v>
      </c>
      <c r="M111" s="37"/>
      <c r="N111" s="36">
        <v>2</v>
      </c>
      <c r="O111" s="37"/>
      <c r="P111" s="36">
        <v>4</v>
      </c>
      <c r="Q111" s="37"/>
      <c r="R111" s="36">
        <v>8</v>
      </c>
      <c r="S111" s="37"/>
      <c r="T111" s="36">
        <f t="shared" si="6"/>
        <v>0.559059633027523</v>
      </c>
      <c r="U111" s="37"/>
    </row>
    <row r="112" spans="1:21">
      <c r="A112" s="46" t="s">
        <v>191</v>
      </c>
      <c r="B112" s="23"/>
      <c r="C112" s="46" t="s">
        <v>192</v>
      </c>
      <c r="D112" s="47"/>
      <c r="E112" s="47"/>
      <c r="F112" s="47"/>
      <c r="G112" s="47"/>
      <c r="H112" s="47"/>
      <c r="I112" s="47"/>
      <c r="J112" s="47"/>
      <c r="K112" s="23"/>
      <c r="L112" s="36">
        <v>8</v>
      </c>
      <c r="M112" s="37"/>
      <c r="N112" s="36">
        <v>2</v>
      </c>
      <c r="O112" s="37"/>
      <c r="P112" s="36">
        <v>8</v>
      </c>
      <c r="Q112" s="37"/>
      <c r="R112" s="36">
        <v>6</v>
      </c>
      <c r="S112" s="37"/>
      <c r="T112" s="36">
        <f t="shared" si="6"/>
        <v>0.469600845889506</v>
      </c>
      <c r="U112" s="37"/>
    </row>
    <row r="113" spans="1:21">
      <c r="A113" s="46" t="s">
        <v>193</v>
      </c>
      <c r="B113" s="23"/>
      <c r="C113" s="46" t="s">
        <v>194</v>
      </c>
      <c r="D113" s="47"/>
      <c r="E113" s="47"/>
      <c r="F113" s="47"/>
      <c r="G113" s="47"/>
      <c r="H113" s="47"/>
      <c r="I113" s="47"/>
      <c r="J113" s="47"/>
      <c r="K113" s="23"/>
      <c r="L113" s="36">
        <v>8</v>
      </c>
      <c r="M113" s="37"/>
      <c r="N113" s="36">
        <v>2</v>
      </c>
      <c r="O113" s="37"/>
      <c r="P113" s="36">
        <v>8</v>
      </c>
      <c r="Q113" s="37"/>
      <c r="R113" s="36">
        <v>8</v>
      </c>
      <c r="S113" s="37"/>
      <c r="T113" s="36">
        <f t="shared" si="6"/>
        <v>0.412329494633274</v>
      </c>
      <c r="U113" s="37"/>
    </row>
    <row r="114" spans="1:21">
      <c r="A114" s="22">
        <v>2.5</v>
      </c>
      <c r="B114" s="23"/>
      <c r="C114" s="46" t="s">
        <v>195</v>
      </c>
      <c r="D114" s="47"/>
      <c r="E114" s="47"/>
      <c r="F114" s="47"/>
      <c r="G114" s="47"/>
      <c r="H114" s="47"/>
      <c r="I114" s="47"/>
      <c r="J114" s="47"/>
      <c r="K114" s="23"/>
      <c r="L114" s="36"/>
      <c r="M114" s="37"/>
      <c r="N114" s="36"/>
      <c r="O114" s="37"/>
      <c r="P114" s="36"/>
      <c r="Q114" s="37"/>
      <c r="R114" s="36"/>
      <c r="S114" s="37"/>
      <c r="T114" s="36"/>
      <c r="U114" s="37"/>
    </row>
    <row r="115" spans="1:21">
      <c r="A115" s="46" t="s">
        <v>196</v>
      </c>
      <c r="B115" s="23"/>
      <c r="C115" s="46" t="s">
        <v>197</v>
      </c>
      <c r="D115" s="47"/>
      <c r="E115" s="47"/>
      <c r="F115" s="47"/>
      <c r="G115" s="47"/>
      <c r="H115" s="47"/>
      <c r="I115" s="47"/>
      <c r="J115" s="47"/>
      <c r="K115" s="23"/>
      <c r="L115" s="36">
        <v>8</v>
      </c>
      <c r="M115" s="37"/>
      <c r="N115" s="36">
        <v>2</v>
      </c>
      <c r="O115" s="37"/>
      <c r="P115" s="36">
        <v>5</v>
      </c>
      <c r="Q115" s="37"/>
      <c r="R115" s="36">
        <v>7</v>
      </c>
      <c r="S115" s="37"/>
      <c r="T115" s="36">
        <f t="shared" ref="T115:T120" si="7">(L115+N115)/(SUM(L115:L176)+SUM(N115:N176))/(((P115/SUM(P115:P176)))+((R115/SUM(R115:R176))))</f>
        <v>0.550051282051282</v>
      </c>
      <c r="U115" s="37"/>
    </row>
    <row r="116" spans="1:21">
      <c r="A116" s="46" t="s">
        <v>198</v>
      </c>
      <c r="B116" s="23"/>
      <c r="C116" s="46" t="s">
        <v>199</v>
      </c>
      <c r="D116" s="47"/>
      <c r="E116" s="47"/>
      <c r="F116" s="47"/>
      <c r="G116" s="47"/>
      <c r="H116" s="47"/>
      <c r="I116" s="47"/>
      <c r="J116" s="47"/>
      <c r="K116" s="23"/>
      <c r="L116" s="36">
        <v>9</v>
      </c>
      <c r="M116" s="37"/>
      <c r="N116" s="36">
        <v>1</v>
      </c>
      <c r="O116" s="37"/>
      <c r="P116" s="36">
        <v>6</v>
      </c>
      <c r="Q116" s="37"/>
      <c r="R116" s="36">
        <v>8</v>
      </c>
      <c r="S116" s="37"/>
      <c r="T116" s="36">
        <f t="shared" si="7"/>
        <v>0.472449908925319</v>
      </c>
      <c r="U116" s="37"/>
    </row>
    <row r="117" spans="1:21">
      <c r="A117" s="46" t="s">
        <v>200</v>
      </c>
      <c r="B117" s="23"/>
      <c r="C117" s="46" t="s">
        <v>201</v>
      </c>
      <c r="D117" s="47"/>
      <c r="E117" s="47"/>
      <c r="F117" s="47"/>
      <c r="G117" s="47"/>
      <c r="H117" s="47"/>
      <c r="I117" s="47"/>
      <c r="J117" s="47"/>
      <c r="K117" s="23"/>
      <c r="L117" s="36">
        <v>8</v>
      </c>
      <c r="M117" s="37"/>
      <c r="N117" s="36">
        <v>2</v>
      </c>
      <c r="O117" s="37"/>
      <c r="P117" s="36">
        <v>4</v>
      </c>
      <c r="Q117" s="37"/>
      <c r="R117" s="36">
        <v>3</v>
      </c>
      <c r="S117" s="37"/>
      <c r="T117" s="36">
        <f t="shared" si="7"/>
        <v>0.929715593331154</v>
      </c>
      <c r="U117" s="37"/>
    </row>
    <row r="118" spans="1:21">
      <c r="A118" s="46" t="s">
        <v>202</v>
      </c>
      <c r="B118" s="23"/>
      <c r="C118" s="46" t="s">
        <v>203</v>
      </c>
      <c r="D118" s="47"/>
      <c r="E118" s="47"/>
      <c r="F118" s="47"/>
      <c r="G118" s="47"/>
      <c r="H118" s="47"/>
      <c r="I118" s="47"/>
      <c r="J118" s="47"/>
      <c r="K118" s="23"/>
      <c r="L118" s="36">
        <v>8</v>
      </c>
      <c r="M118" s="37"/>
      <c r="N118" s="36">
        <v>2</v>
      </c>
      <c r="O118" s="37"/>
      <c r="P118" s="36">
        <v>4</v>
      </c>
      <c r="Q118" s="37"/>
      <c r="R118" s="36">
        <v>7</v>
      </c>
      <c r="S118" s="37"/>
      <c r="T118" s="36">
        <f t="shared" si="7"/>
        <v>0.616477272727273</v>
      </c>
      <c r="U118" s="37"/>
    </row>
    <row r="119" spans="1:21">
      <c r="A119" s="46" t="s">
        <v>204</v>
      </c>
      <c r="B119" s="23"/>
      <c r="C119" s="46" t="s">
        <v>205</v>
      </c>
      <c r="D119" s="47"/>
      <c r="E119" s="47"/>
      <c r="F119" s="47"/>
      <c r="G119" s="47"/>
      <c r="H119" s="47"/>
      <c r="I119" s="47"/>
      <c r="J119" s="47"/>
      <c r="K119" s="23"/>
      <c r="L119" s="36">
        <v>8</v>
      </c>
      <c r="M119" s="37"/>
      <c r="N119" s="36">
        <v>2</v>
      </c>
      <c r="O119" s="37"/>
      <c r="P119" s="36">
        <v>8</v>
      </c>
      <c r="Q119" s="37"/>
      <c r="R119" s="36">
        <v>8</v>
      </c>
      <c r="S119" s="37"/>
      <c r="T119" s="36">
        <f t="shared" si="7"/>
        <v>0.42186452045607</v>
      </c>
      <c r="U119" s="37"/>
    </row>
    <row r="120" spans="1:21">
      <c r="A120" s="46" t="s">
        <v>206</v>
      </c>
      <c r="B120" s="23"/>
      <c r="C120" s="46" t="s">
        <v>207</v>
      </c>
      <c r="D120" s="47"/>
      <c r="E120" s="47"/>
      <c r="F120" s="47"/>
      <c r="G120" s="47"/>
      <c r="H120" s="47"/>
      <c r="I120" s="47"/>
      <c r="J120" s="47"/>
      <c r="K120" s="23"/>
      <c r="L120" s="36">
        <v>8</v>
      </c>
      <c r="M120" s="37"/>
      <c r="N120" s="36">
        <v>2</v>
      </c>
      <c r="O120" s="37"/>
      <c r="P120" s="36">
        <v>8</v>
      </c>
      <c r="Q120" s="37"/>
      <c r="R120" s="36">
        <v>8</v>
      </c>
      <c r="S120" s="37"/>
      <c r="T120" s="36">
        <f t="shared" si="7"/>
        <v>0.417910447761194</v>
      </c>
      <c r="U120" s="37"/>
    </row>
    <row r="121" spans="1:21">
      <c r="A121" s="22">
        <v>2.6</v>
      </c>
      <c r="B121" s="23"/>
      <c r="C121" s="46" t="s">
        <v>208</v>
      </c>
      <c r="D121" s="47"/>
      <c r="E121" s="47"/>
      <c r="F121" s="47"/>
      <c r="G121" s="47"/>
      <c r="H121" s="47"/>
      <c r="I121" s="47"/>
      <c r="J121" s="47"/>
      <c r="K121" s="23"/>
      <c r="L121" s="36"/>
      <c r="M121" s="37"/>
      <c r="N121" s="36"/>
      <c r="O121" s="37"/>
      <c r="P121" s="36"/>
      <c r="Q121" s="37"/>
      <c r="R121" s="36"/>
      <c r="S121" s="37"/>
      <c r="T121" s="36"/>
      <c r="U121" s="37"/>
    </row>
    <row r="122" spans="1:21">
      <c r="A122" s="46" t="s">
        <v>209</v>
      </c>
      <c r="B122" s="23"/>
      <c r="C122" s="46" t="s">
        <v>210</v>
      </c>
      <c r="D122" s="47"/>
      <c r="E122" s="47"/>
      <c r="F122" s="47"/>
      <c r="G122" s="47"/>
      <c r="H122" s="47"/>
      <c r="I122" s="47"/>
      <c r="J122" s="47"/>
      <c r="K122" s="23"/>
      <c r="L122" s="36">
        <v>8</v>
      </c>
      <c r="M122" s="37"/>
      <c r="N122" s="36">
        <v>2</v>
      </c>
      <c r="O122" s="37"/>
      <c r="P122" s="36">
        <v>5</v>
      </c>
      <c r="Q122" s="37"/>
      <c r="R122" s="36">
        <v>7</v>
      </c>
      <c r="S122" s="37"/>
      <c r="T122" s="36">
        <f t="shared" ref="T122:T129" si="8">(L122+N122)/(SUM(L122:L183)+SUM(N122:N183))/(((P122/SUM(P122:P183)))+((R122/SUM(R122:R183))))</f>
        <v>0.55578947368421</v>
      </c>
      <c r="U122" s="37"/>
    </row>
    <row r="123" spans="1:21">
      <c r="A123" s="46" t="s">
        <v>211</v>
      </c>
      <c r="B123" s="23"/>
      <c r="C123" s="46" t="s">
        <v>212</v>
      </c>
      <c r="D123" s="47"/>
      <c r="E123" s="47"/>
      <c r="F123" s="47"/>
      <c r="G123" s="47"/>
      <c r="H123" s="47"/>
      <c r="I123" s="47"/>
      <c r="J123" s="47"/>
      <c r="K123" s="23"/>
      <c r="L123" s="36">
        <v>8</v>
      </c>
      <c r="M123" s="37"/>
      <c r="N123" s="36">
        <v>2</v>
      </c>
      <c r="O123" s="37"/>
      <c r="P123" s="36">
        <v>7</v>
      </c>
      <c r="Q123" s="37"/>
      <c r="R123" s="36">
        <v>5</v>
      </c>
      <c r="S123" s="37"/>
      <c r="T123" s="36">
        <f t="shared" si="8"/>
        <v>0.550766283524904</v>
      </c>
      <c r="U123" s="37"/>
    </row>
    <row r="124" spans="1:21">
      <c r="A124" s="46" t="s">
        <v>213</v>
      </c>
      <c r="B124" s="23"/>
      <c r="C124" s="46" t="s">
        <v>214</v>
      </c>
      <c r="D124" s="47"/>
      <c r="E124" s="47"/>
      <c r="F124" s="47"/>
      <c r="G124" s="47"/>
      <c r="H124" s="47"/>
      <c r="I124" s="47"/>
      <c r="J124" s="47"/>
      <c r="K124" s="23"/>
      <c r="L124" s="36">
        <v>8</v>
      </c>
      <c r="M124" s="37"/>
      <c r="N124" s="36">
        <v>2</v>
      </c>
      <c r="O124" s="37"/>
      <c r="P124" s="36">
        <v>6</v>
      </c>
      <c r="Q124" s="37"/>
      <c r="R124" s="36">
        <v>6</v>
      </c>
      <c r="S124" s="37"/>
      <c r="T124" s="36">
        <f t="shared" si="8"/>
        <v>0.557275541795666</v>
      </c>
      <c r="U124" s="37"/>
    </row>
    <row r="125" spans="1:21">
      <c r="A125" s="46" t="s">
        <v>215</v>
      </c>
      <c r="B125" s="23"/>
      <c r="C125" s="46" t="s">
        <v>216</v>
      </c>
      <c r="D125" s="47"/>
      <c r="E125" s="47"/>
      <c r="F125" s="47"/>
      <c r="G125" s="47"/>
      <c r="H125" s="47"/>
      <c r="I125" s="47"/>
      <c r="J125" s="47"/>
      <c r="K125" s="23"/>
      <c r="L125" s="36">
        <v>9</v>
      </c>
      <c r="M125" s="37"/>
      <c r="N125" s="36">
        <v>1</v>
      </c>
      <c r="O125" s="37"/>
      <c r="P125" s="36">
        <v>4</v>
      </c>
      <c r="Q125" s="37"/>
      <c r="R125" s="36">
        <v>3</v>
      </c>
      <c r="S125" s="37"/>
      <c r="T125" s="36">
        <f t="shared" si="8"/>
        <v>0.953740157480315</v>
      </c>
      <c r="U125" s="37"/>
    </row>
    <row r="126" spans="1:21">
      <c r="A126" s="46" t="s">
        <v>217</v>
      </c>
      <c r="B126" s="23"/>
      <c r="C126" s="46" t="s">
        <v>218</v>
      </c>
      <c r="D126" s="47"/>
      <c r="E126" s="47"/>
      <c r="F126" s="47"/>
      <c r="G126" s="47"/>
      <c r="H126" s="47"/>
      <c r="I126" s="47"/>
      <c r="J126" s="47"/>
      <c r="K126" s="23"/>
      <c r="L126" s="36">
        <v>8</v>
      </c>
      <c r="M126" s="37"/>
      <c r="N126" s="36">
        <v>2</v>
      </c>
      <c r="O126" s="37"/>
      <c r="P126" s="36">
        <v>5</v>
      </c>
      <c r="Q126" s="37"/>
      <c r="R126" s="36">
        <v>4</v>
      </c>
      <c r="S126" s="37"/>
      <c r="T126" s="36">
        <f t="shared" si="8"/>
        <v>0.765786694825766</v>
      </c>
      <c r="U126" s="37"/>
    </row>
    <row r="127" spans="1:21">
      <c r="A127" s="46" t="s">
        <v>219</v>
      </c>
      <c r="B127" s="23"/>
      <c r="C127" s="46" t="s">
        <v>220</v>
      </c>
      <c r="D127" s="47"/>
      <c r="E127" s="47"/>
      <c r="F127" s="47"/>
      <c r="G127" s="47"/>
      <c r="H127" s="47"/>
      <c r="I127" s="47"/>
      <c r="J127" s="47"/>
      <c r="K127" s="23"/>
      <c r="L127" s="36">
        <v>8</v>
      </c>
      <c r="M127" s="37"/>
      <c r="N127" s="36">
        <v>2</v>
      </c>
      <c r="O127" s="37"/>
      <c r="P127" s="36">
        <v>8</v>
      </c>
      <c r="Q127" s="37"/>
      <c r="R127" s="36">
        <v>7</v>
      </c>
      <c r="S127" s="37"/>
      <c r="T127" s="36">
        <f t="shared" si="8"/>
        <v>0.471656081145132</v>
      </c>
      <c r="U127" s="37"/>
    </row>
    <row r="128" spans="1:21">
      <c r="A128" s="46" t="s">
        <v>221</v>
      </c>
      <c r="B128" s="23"/>
      <c r="C128" s="46" t="s">
        <v>222</v>
      </c>
      <c r="D128" s="47"/>
      <c r="E128" s="47"/>
      <c r="F128" s="47"/>
      <c r="G128" s="47"/>
      <c r="H128" s="47"/>
      <c r="I128" s="47"/>
      <c r="J128" s="47"/>
      <c r="K128" s="23"/>
      <c r="L128" s="36">
        <v>8</v>
      </c>
      <c r="M128" s="37"/>
      <c r="N128" s="36">
        <v>2</v>
      </c>
      <c r="O128" s="37"/>
      <c r="P128" s="36">
        <v>8</v>
      </c>
      <c r="Q128" s="37"/>
      <c r="R128" s="36">
        <v>7</v>
      </c>
      <c r="S128" s="37"/>
      <c r="T128" s="36">
        <f t="shared" si="8"/>
        <v>0.468706920319824</v>
      </c>
      <c r="U128" s="37"/>
    </row>
    <row r="129" spans="1:21">
      <c r="A129" s="46" t="s">
        <v>223</v>
      </c>
      <c r="B129" s="23"/>
      <c r="C129" s="46" t="s">
        <v>224</v>
      </c>
      <c r="D129" s="47"/>
      <c r="E129" s="47"/>
      <c r="F129" s="47"/>
      <c r="G129" s="47"/>
      <c r="H129" s="47"/>
      <c r="I129" s="47"/>
      <c r="J129" s="47"/>
      <c r="K129" s="23"/>
      <c r="L129" s="36">
        <v>8</v>
      </c>
      <c r="M129" s="37"/>
      <c r="N129" s="36">
        <v>2</v>
      </c>
      <c r="O129" s="37"/>
      <c r="P129" s="36">
        <v>5</v>
      </c>
      <c r="Q129" s="37"/>
      <c r="R129" s="36">
        <v>9</v>
      </c>
      <c r="S129" s="37"/>
      <c r="T129" s="36">
        <f t="shared" si="8"/>
        <v>0.515328151986183</v>
      </c>
      <c r="U129" s="37"/>
    </row>
    <row r="130" spans="1:21">
      <c r="A130" s="22">
        <v>2.7</v>
      </c>
      <c r="B130" s="23"/>
      <c r="C130" s="46" t="s">
        <v>225</v>
      </c>
      <c r="D130" s="47"/>
      <c r="E130" s="47"/>
      <c r="F130" s="47"/>
      <c r="G130" s="47"/>
      <c r="H130" s="47"/>
      <c r="I130" s="47"/>
      <c r="J130" s="47"/>
      <c r="K130" s="23"/>
      <c r="L130" s="36"/>
      <c r="M130" s="37"/>
      <c r="N130" s="36"/>
      <c r="O130" s="37"/>
      <c r="P130" s="36"/>
      <c r="Q130" s="37"/>
      <c r="R130" s="36"/>
      <c r="S130" s="37"/>
      <c r="T130" s="36"/>
      <c r="U130" s="37"/>
    </row>
    <row r="131" spans="1:21">
      <c r="A131" s="46" t="s">
        <v>226</v>
      </c>
      <c r="B131" s="23"/>
      <c r="C131" s="46" t="s">
        <v>227</v>
      </c>
      <c r="D131" s="47"/>
      <c r="E131" s="47"/>
      <c r="F131" s="47"/>
      <c r="G131" s="47"/>
      <c r="H131" s="47"/>
      <c r="I131" s="47"/>
      <c r="J131" s="47"/>
      <c r="K131" s="23"/>
      <c r="L131" s="36">
        <v>8</v>
      </c>
      <c r="M131" s="37"/>
      <c r="N131" s="36">
        <v>2</v>
      </c>
      <c r="O131" s="37"/>
      <c r="P131" s="36">
        <v>8</v>
      </c>
      <c r="Q131" s="37"/>
      <c r="R131" s="36">
        <v>9</v>
      </c>
      <c r="S131" s="37"/>
      <c r="T131" s="36">
        <f t="shared" ref="T131:T141" si="9">(L131+N131)/(SUM(L131:L192)+SUM(N131:N192))/(((P131/SUM(P131:P192)))+((R131/SUM(R131:R192))))</f>
        <v>0.416528925619835</v>
      </c>
      <c r="U131" s="37"/>
    </row>
    <row r="132" spans="1:21">
      <c r="A132" s="46" t="s">
        <v>228</v>
      </c>
      <c r="B132" s="23"/>
      <c r="C132" s="46" t="s">
        <v>229</v>
      </c>
      <c r="D132" s="47"/>
      <c r="E132" s="47"/>
      <c r="F132" s="47"/>
      <c r="G132" s="47"/>
      <c r="H132" s="47"/>
      <c r="I132" s="47"/>
      <c r="J132" s="47"/>
      <c r="K132" s="23"/>
      <c r="L132" s="36">
        <v>8</v>
      </c>
      <c r="M132" s="37"/>
      <c r="N132" s="36">
        <v>2</v>
      </c>
      <c r="O132" s="37"/>
      <c r="P132" s="36">
        <v>6</v>
      </c>
      <c r="Q132" s="37"/>
      <c r="R132" s="36">
        <v>7</v>
      </c>
      <c r="S132" s="37"/>
      <c r="T132" s="36">
        <f t="shared" si="9"/>
        <v>0.534521158129176</v>
      </c>
      <c r="U132" s="37"/>
    </row>
    <row r="133" spans="1:21">
      <c r="A133" s="46" t="s">
        <v>230</v>
      </c>
      <c r="B133" s="23"/>
      <c r="C133" s="46" t="s">
        <v>231</v>
      </c>
      <c r="D133" s="47"/>
      <c r="E133" s="47"/>
      <c r="F133" s="47"/>
      <c r="G133" s="47"/>
      <c r="H133" s="47"/>
      <c r="I133" s="47"/>
      <c r="J133" s="47"/>
      <c r="K133" s="23"/>
      <c r="L133" s="36">
        <v>8</v>
      </c>
      <c r="M133" s="37"/>
      <c r="N133" s="36">
        <v>2</v>
      </c>
      <c r="O133" s="37"/>
      <c r="P133" s="36">
        <v>7</v>
      </c>
      <c r="Q133" s="37"/>
      <c r="R133" s="36">
        <v>8</v>
      </c>
      <c r="S133" s="37"/>
      <c r="T133" s="36">
        <f t="shared" si="9"/>
        <v>0.466193853427896</v>
      </c>
      <c r="U133" s="37"/>
    </row>
    <row r="134" spans="1:21">
      <c r="A134" s="46" t="s">
        <v>232</v>
      </c>
      <c r="B134" s="23"/>
      <c r="C134" s="46" t="s">
        <v>233</v>
      </c>
      <c r="D134" s="47"/>
      <c r="E134" s="47"/>
      <c r="F134" s="47"/>
      <c r="G134" s="47"/>
      <c r="H134" s="47"/>
      <c r="I134" s="47"/>
      <c r="J134" s="47"/>
      <c r="K134" s="23"/>
      <c r="L134" s="36">
        <v>8</v>
      </c>
      <c r="M134" s="37"/>
      <c r="N134" s="36">
        <v>2</v>
      </c>
      <c r="O134" s="37"/>
      <c r="P134" s="36">
        <v>6</v>
      </c>
      <c r="Q134" s="37"/>
      <c r="R134" s="36">
        <v>8</v>
      </c>
      <c r="S134" s="37"/>
      <c r="T134" s="36">
        <f t="shared" si="9"/>
        <v>0.498046875</v>
      </c>
      <c r="U134" s="37"/>
    </row>
    <row r="135" spans="1:21">
      <c r="A135" s="46" t="s">
        <v>234</v>
      </c>
      <c r="B135" s="23"/>
      <c r="C135" s="46" t="s">
        <v>235</v>
      </c>
      <c r="D135" s="47"/>
      <c r="E135" s="47"/>
      <c r="F135" s="47"/>
      <c r="G135" s="47"/>
      <c r="H135" s="47"/>
      <c r="I135" s="47"/>
      <c r="J135" s="47"/>
      <c r="K135" s="23"/>
      <c r="L135" s="36">
        <v>8</v>
      </c>
      <c r="M135" s="37"/>
      <c r="N135" s="36">
        <v>2</v>
      </c>
      <c r="O135" s="37"/>
      <c r="P135" s="36">
        <v>6</v>
      </c>
      <c r="Q135" s="37"/>
      <c r="R135" s="36">
        <v>8</v>
      </c>
      <c r="S135" s="37"/>
      <c r="T135" s="36">
        <f t="shared" si="9"/>
        <v>0.497448979591837</v>
      </c>
      <c r="U135" s="37"/>
    </row>
    <row r="136" spans="1:21">
      <c r="A136" s="46" t="s">
        <v>236</v>
      </c>
      <c r="B136" s="23"/>
      <c r="C136" s="46" t="s">
        <v>237</v>
      </c>
      <c r="D136" s="47"/>
      <c r="E136" s="47"/>
      <c r="F136" s="47"/>
      <c r="G136" s="47"/>
      <c r="H136" s="47"/>
      <c r="I136" s="47"/>
      <c r="J136" s="47"/>
      <c r="K136" s="23"/>
      <c r="L136" s="36">
        <v>9</v>
      </c>
      <c r="M136" s="37"/>
      <c r="N136" s="36">
        <v>1</v>
      </c>
      <c r="O136" s="37"/>
      <c r="P136" s="36">
        <v>8</v>
      </c>
      <c r="Q136" s="37"/>
      <c r="R136" s="36">
        <v>7</v>
      </c>
      <c r="S136" s="37"/>
      <c r="T136" s="36">
        <f t="shared" si="9"/>
        <v>0.4576</v>
      </c>
      <c r="U136" s="37"/>
    </row>
    <row r="137" spans="1:21">
      <c r="A137" s="46" t="s">
        <v>238</v>
      </c>
      <c r="B137" s="23"/>
      <c r="C137" s="46" t="s">
        <v>239</v>
      </c>
      <c r="D137" s="47"/>
      <c r="E137" s="47"/>
      <c r="F137" s="47"/>
      <c r="G137" s="47"/>
      <c r="H137" s="47"/>
      <c r="I137" s="47"/>
      <c r="J137" s="47"/>
      <c r="K137" s="23"/>
      <c r="L137" s="36">
        <v>8</v>
      </c>
      <c r="M137" s="37"/>
      <c r="N137" s="36">
        <v>2</v>
      </c>
      <c r="O137" s="37"/>
      <c r="P137" s="36">
        <v>6</v>
      </c>
      <c r="Q137" s="37"/>
      <c r="R137" s="36">
        <v>7</v>
      </c>
      <c r="S137" s="37"/>
      <c r="T137" s="36">
        <f t="shared" si="9"/>
        <v>0.52255125284738</v>
      </c>
      <c r="U137" s="37"/>
    </row>
    <row r="138" spans="1:21">
      <c r="A138" s="46" t="s">
        <v>240</v>
      </c>
      <c r="B138" s="23"/>
      <c r="C138" s="46" t="s">
        <v>241</v>
      </c>
      <c r="D138" s="47"/>
      <c r="E138" s="47"/>
      <c r="F138" s="47"/>
      <c r="G138" s="47"/>
      <c r="H138" s="47"/>
      <c r="I138" s="47"/>
      <c r="J138" s="47"/>
      <c r="K138" s="23"/>
      <c r="L138" s="36">
        <v>9</v>
      </c>
      <c r="M138" s="37"/>
      <c r="N138" s="36">
        <v>1</v>
      </c>
      <c r="O138" s="37"/>
      <c r="P138" s="36">
        <v>4</v>
      </c>
      <c r="Q138" s="37"/>
      <c r="R138" s="36">
        <v>6</v>
      </c>
      <c r="S138" s="37"/>
      <c r="T138" s="36">
        <f t="shared" si="9"/>
        <v>0.694444444444444</v>
      </c>
      <c r="U138" s="37"/>
    </row>
    <row r="139" spans="1:21">
      <c r="A139" s="46" t="s">
        <v>242</v>
      </c>
      <c r="B139" s="23"/>
      <c r="C139" s="46" t="s">
        <v>243</v>
      </c>
      <c r="D139" s="47"/>
      <c r="E139" s="47"/>
      <c r="F139" s="47"/>
      <c r="G139" s="47"/>
      <c r="H139" s="47"/>
      <c r="I139" s="47"/>
      <c r="J139" s="47"/>
      <c r="K139" s="23"/>
      <c r="L139" s="36">
        <v>7</v>
      </c>
      <c r="M139" s="37"/>
      <c r="N139" s="36">
        <v>3</v>
      </c>
      <c r="O139" s="37"/>
      <c r="P139" s="36">
        <v>9</v>
      </c>
      <c r="Q139" s="37"/>
      <c r="R139" s="36">
        <v>9</v>
      </c>
      <c r="S139" s="37"/>
      <c r="T139" s="36">
        <f t="shared" si="9"/>
        <v>0.414814814814815</v>
      </c>
      <c r="U139" s="37"/>
    </row>
    <row r="140" spans="1:21">
      <c r="A140" s="46" t="s">
        <v>244</v>
      </c>
      <c r="B140" s="23"/>
      <c r="C140" s="46" t="s">
        <v>245</v>
      </c>
      <c r="D140" s="47"/>
      <c r="E140" s="47"/>
      <c r="F140" s="47"/>
      <c r="G140" s="47"/>
      <c r="H140" s="47"/>
      <c r="I140" s="47"/>
      <c r="J140" s="47"/>
      <c r="K140" s="23"/>
      <c r="L140" s="36">
        <v>8</v>
      </c>
      <c r="M140" s="37"/>
      <c r="N140" s="36">
        <v>2</v>
      </c>
      <c r="O140" s="37"/>
      <c r="P140" s="36">
        <v>6</v>
      </c>
      <c r="Q140" s="37"/>
      <c r="R140" s="36">
        <v>7</v>
      </c>
      <c r="S140" s="37"/>
      <c r="T140" s="36">
        <f t="shared" si="9"/>
        <v>0.517241379310345</v>
      </c>
      <c r="U140" s="37"/>
    </row>
    <row r="141" spans="1:21">
      <c r="A141" s="46" t="s">
        <v>246</v>
      </c>
      <c r="B141" s="23"/>
      <c r="C141" s="46" t="s">
        <v>247</v>
      </c>
      <c r="D141" s="47"/>
      <c r="E141" s="47"/>
      <c r="F141" s="47"/>
      <c r="G141" s="47"/>
      <c r="H141" s="47"/>
      <c r="I141" s="47"/>
      <c r="J141" s="47"/>
      <c r="K141" s="23"/>
      <c r="L141" s="36">
        <v>8</v>
      </c>
      <c r="M141" s="37"/>
      <c r="N141" s="36">
        <v>2</v>
      </c>
      <c r="O141" s="37"/>
      <c r="P141" s="36">
        <v>6</v>
      </c>
      <c r="Q141" s="37"/>
      <c r="R141" s="36">
        <v>8</v>
      </c>
      <c r="S141" s="37"/>
      <c r="T141" s="36">
        <f t="shared" si="9"/>
        <v>0.5</v>
      </c>
      <c r="U141" s="37"/>
    </row>
  </sheetData>
  <mergeCells count="887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U16"/>
    <mergeCell ref="A17:B17"/>
    <mergeCell ref="C17:K17"/>
    <mergeCell ref="L17:M17"/>
    <mergeCell ref="N17:O17"/>
    <mergeCell ref="P17:Q17"/>
    <mergeCell ref="R17:S17"/>
    <mergeCell ref="T17:U17"/>
    <mergeCell ref="A18:B18"/>
    <mergeCell ref="C18:K18"/>
    <mergeCell ref="L18:M18"/>
    <mergeCell ref="N18:O18"/>
    <mergeCell ref="P18:Q18"/>
    <mergeCell ref="R18:S18"/>
    <mergeCell ref="T18:U18"/>
    <mergeCell ref="A19:B19"/>
    <mergeCell ref="C19:K19"/>
    <mergeCell ref="L19:M19"/>
    <mergeCell ref="N19:O19"/>
    <mergeCell ref="P19:Q19"/>
    <mergeCell ref="R19:S19"/>
    <mergeCell ref="T19:U19"/>
    <mergeCell ref="A20:B20"/>
    <mergeCell ref="C20:K20"/>
    <mergeCell ref="L20:M20"/>
    <mergeCell ref="N20:O20"/>
    <mergeCell ref="P20:Q20"/>
    <mergeCell ref="R20:S20"/>
    <mergeCell ref="T20:U20"/>
    <mergeCell ref="A21:B21"/>
    <mergeCell ref="C21:K21"/>
    <mergeCell ref="L21:M21"/>
    <mergeCell ref="N21:O21"/>
    <mergeCell ref="P21:Q21"/>
    <mergeCell ref="R21:S21"/>
    <mergeCell ref="T21:U21"/>
    <mergeCell ref="A22:B22"/>
    <mergeCell ref="C22:K22"/>
    <mergeCell ref="L22:M22"/>
    <mergeCell ref="N22:O22"/>
    <mergeCell ref="P22:Q22"/>
    <mergeCell ref="R22:S22"/>
    <mergeCell ref="T22:U22"/>
    <mergeCell ref="A23:B23"/>
    <mergeCell ref="C23:K23"/>
    <mergeCell ref="L23:M23"/>
    <mergeCell ref="N23:O23"/>
    <mergeCell ref="P23:Q23"/>
    <mergeCell ref="R23:S23"/>
    <mergeCell ref="T23:U23"/>
    <mergeCell ref="A24:B24"/>
    <mergeCell ref="C24:K24"/>
    <mergeCell ref="L24:M24"/>
    <mergeCell ref="N24:O24"/>
    <mergeCell ref="P24:Q24"/>
    <mergeCell ref="R24:S24"/>
    <mergeCell ref="T24:U24"/>
    <mergeCell ref="A25:B25"/>
    <mergeCell ref="C25:K25"/>
    <mergeCell ref="L25:M25"/>
    <mergeCell ref="N25:O25"/>
    <mergeCell ref="P25:Q25"/>
    <mergeCell ref="R25:S25"/>
    <mergeCell ref="T25:U25"/>
    <mergeCell ref="A26:B26"/>
    <mergeCell ref="C26:K26"/>
    <mergeCell ref="L26:M26"/>
    <mergeCell ref="N26:O26"/>
    <mergeCell ref="P26:Q26"/>
    <mergeCell ref="R26:S26"/>
    <mergeCell ref="T26:U26"/>
    <mergeCell ref="A27:B27"/>
    <mergeCell ref="C27:K27"/>
    <mergeCell ref="L27:M27"/>
    <mergeCell ref="N27:O27"/>
    <mergeCell ref="P27:Q27"/>
    <mergeCell ref="R27:S27"/>
    <mergeCell ref="T27:U27"/>
    <mergeCell ref="A28:B28"/>
    <mergeCell ref="C28:K28"/>
    <mergeCell ref="L28:M28"/>
    <mergeCell ref="N28:O28"/>
    <mergeCell ref="P28:Q28"/>
    <mergeCell ref="R28:S28"/>
    <mergeCell ref="T28:U28"/>
    <mergeCell ref="A29:B29"/>
    <mergeCell ref="C29:K29"/>
    <mergeCell ref="L29:M29"/>
    <mergeCell ref="N29:O29"/>
    <mergeCell ref="P29:Q29"/>
    <mergeCell ref="R29:S29"/>
    <mergeCell ref="T29:U29"/>
    <mergeCell ref="A30:B30"/>
    <mergeCell ref="C30:K30"/>
    <mergeCell ref="L30:M30"/>
    <mergeCell ref="N30:O30"/>
    <mergeCell ref="P30:Q30"/>
    <mergeCell ref="R30:S30"/>
    <mergeCell ref="T30:U30"/>
    <mergeCell ref="A31:B31"/>
    <mergeCell ref="C31:K31"/>
    <mergeCell ref="L31:M31"/>
    <mergeCell ref="N31:O31"/>
    <mergeCell ref="P31:Q31"/>
    <mergeCell ref="R31:S31"/>
    <mergeCell ref="T31:U31"/>
    <mergeCell ref="A32:B32"/>
    <mergeCell ref="C32:K32"/>
    <mergeCell ref="L32:M32"/>
    <mergeCell ref="N32:O32"/>
    <mergeCell ref="P32:Q32"/>
    <mergeCell ref="R32:S32"/>
    <mergeCell ref="T32:U32"/>
    <mergeCell ref="A33:B33"/>
    <mergeCell ref="C33:K33"/>
    <mergeCell ref="L33:M33"/>
    <mergeCell ref="N33:O33"/>
    <mergeCell ref="P33:Q33"/>
    <mergeCell ref="R33:S33"/>
    <mergeCell ref="T33:U33"/>
    <mergeCell ref="A34:B34"/>
    <mergeCell ref="C34:K34"/>
    <mergeCell ref="L34:M34"/>
    <mergeCell ref="N34:O34"/>
    <mergeCell ref="P34:Q34"/>
    <mergeCell ref="R34:S34"/>
    <mergeCell ref="T34:U34"/>
    <mergeCell ref="A35:B35"/>
    <mergeCell ref="C35:K35"/>
    <mergeCell ref="L35:M35"/>
    <mergeCell ref="N35:O35"/>
    <mergeCell ref="P35:Q35"/>
    <mergeCell ref="R35:S35"/>
    <mergeCell ref="T35:U35"/>
    <mergeCell ref="A36:B36"/>
    <mergeCell ref="C36:K36"/>
    <mergeCell ref="L36:M36"/>
    <mergeCell ref="N36:O36"/>
    <mergeCell ref="P36:Q36"/>
    <mergeCell ref="R36:S36"/>
    <mergeCell ref="T36:U36"/>
    <mergeCell ref="A37:B37"/>
    <mergeCell ref="C37:K37"/>
    <mergeCell ref="L37:M37"/>
    <mergeCell ref="N37:O37"/>
    <mergeCell ref="P37:Q37"/>
    <mergeCell ref="R37:S37"/>
    <mergeCell ref="T37:U37"/>
    <mergeCell ref="A38:B38"/>
    <mergeCell ref="C38:K38"/>
    <mergeCell ref="L38:M38"/>
    <mergeCell ref="N38:O38"/>
    <mergeCell ref="P38:Q38"/>
    <mergeCell ref="R38:S38"/>
    <mergeCell ref="T38:U38"/>
    <mergeCell ref="A39:B39"/>
    <mergeCell ref="C39:K39"/>
    <mergeCell ref="L39:M39"/>
    <mergeCell ref="N39:O39"/>
    <mergeCell ref="P39:Q39"/>
    <mergeCell ref="R39:S39"/>
    <mergeCell ref="T39:U39"/>
    <mergeCell ref="A40:B40"/>
    <mergeCell ref="C40:K40"/>
    <mergeCell ref="L40:M40"/>
    <mergeCell ref="N40:O40"/>
    <mergeCell ref="P40:Q40"/>
    <mergeCell ref="R40:S40"/>
    <mergeCell ref="T40:U40"/>
    <mergeCell ref="A41:B41"/>
    <mergeCell ref="C41:K41"/>
    <mergeCell ref="L41:M41"/>
    <mergeCell ref="N41:O41"/>
    <mergeCell ref="P41:Q41"/>
    <mergeCell ref="R41:S41"/>
    <mergeCell ref="T41:U41"/>
    <mergeCell ref="A42:B42"/>
    <mergeCell ref="C42:K42"/>
    <mergeCell ref="L42:M42"/>
    <mergeCell ref="N42:O42"/>
    <mergeCell ref="P42:Q42"/>
    <mergeCell ref="R42:S42"/>
    <mergeCell ref="T42:U42"/>
    <mergeCell ref="A43:B43"/>
    <mergeCell ref="C43:K43"/>
    <mergeCell ref="L43:M43"/>
    <mergeCell ref="N43:O43"/>
    <mergeCell ref="P43:Q43"/>
    <mergeCell ref="R43:S43"/>
    <mergeCell ref="T43:U43"/>
    <mergeCell ref="A44:B44"/>
    <mergeCell ref="C44:K44"/>
    <mergeCell ref="L44:M44"/>
    <mergeCell ref="N44:O44"/>
    <mergeCell ref="P44:Q44"/>
    <mergeCell ref="R44:S44"/>
    <mergeCell ref="T44:U44"/>
    <mergeCell ref="A45:B45"/>
    <mergeCell ref="C45:K45"/>
    <mergeCell ref="L45:M45"/>
    <mergeCell ref="N45:O45"/>
    <mergeCell ref="P45:Q45"/>
    <mergeCell ref="R45:S45"/>
    <mergeCell ref="T45:U45"/>
    <mergeCell ref="A46:B46"/>
    <mergeCell ref="C46:K46"/>
    <mergeCell ref="L46:M46"/>
    <mergeCell ref="N46:O46"/>
    <mergeCell ref="P46:Q46"/>
    <mergeCell ref="R46:S46"/>
    <mergeCell ref="T46:U46"/>
    <mergeCell ref="A47:B47"/>
    <mergeCell ref="C47:K47"/>
    <mergeCell ref="L47:M47"/>
    <mergeCell ref="N47:O47"/>
    <mergeCell ref="P47:Q47"/>
    <mergeCell ref="R47:S47"/>
    <mergeCell ref="T47:U47"/>
    <mergeCell ref="A48:B48"/>
    <mergeCell ref="C48:K48"/>
    <mergeCell ref="L48:M48"/>
    <mergeCell ref="N48:O48"/>
    <mergeCell ref="P48:Q48"/>
    <mergeCell ref="R48:S48"/>
    <mergeCell ref="T48:U48"/>
    <mergeCell ref="A49:B49"/>
    <mergeCell ref="C49:K49"/>
    <mergeCell ref="L49:M49"/>
    <mergeCell ref="N49:O49"/>
    <mergeCell ref="P49:Q49"/>
    <mergeCell ref="R49:S49"/>
    <mergeCell ref="T49:U49"/>
    <mergeCell ref="A50:B50"/>
    <mergeCell ref="C50:K50"/>
    <mergeCell ref="L50:M50"/>
    <mergeCell ref="N50:O50"/>
    <mergeCell ref="P50:Q50"/>
    <mergeCell ref="R50:S50"/>
    <mergeCell ref="T50:U50"/>
    <mergeCell ref="A51:B51"/>
    <mergeCell ref="C51:K51"/>
    <mergeCell ref="L51:M51"/>
    <mergeCell ref="N51:O51"/>
    <mergeCell ref="P51:Q51"/>
    <mergeCell ref="R51:S51"/>
    <mergeCell ref="T51:U51"/>
    <mergeCell ref="A52:B52"/>
    <mergeCell ref="C52:K52"/>
    <mergeCell ref="L52:M52"/>
    <mergeCell ref="N52:O52"/>
    <mergeCell ref="P52:Q52"/>
    <mergeCell ref="R52:S52"/>
    <mergeCell ref="T52:U52"/>
    <mergeCell ref="C53:K53"/>
    <mergeCell ref="L53:M53"/>
    <mergeCell ref="N53:O53"/>
    <mergeCell ref="P53:Q53"/>
    <mergeCell ref="R53:S53"/>
    <mergeCell ref="T53:U53"/>
    <mergeCell ref="A54:B54"/>
    <mergeCell ref="C54:K54"/>
    <mergeCell ref="L54:M54"/>
    <mergeCell ref="N54:O54"/>
    <mergeCell ref="P54:Q54"/>
    <mergeCell ref="R54:S54"/>
    <mergeCell ref="T54:U54"/>
    <mergeCell ref="A55:B55"/>
    <mergeCell ref="C55:K55"/>
    <mergeCell ref="L55:M55"/>
    <mergeCell ref="N55:O55"/>
    <mergeCell ref="P55:Q55"/>
    <mergeCell ref="R55:S55"/>
    <mergeCell ref="T55:U55"/>
    <mergeCell ref="A56:B56"/>
    <mergeCell ref="C56:K56"/>
    <mergeCell ref="L56:M56"/>
    <mergeCell ref="N56:O56"/>
    <mergeCell ref="P56:Q56"/>
    <mergeCell ref="R56:S56"/>
    <mergeCell ref="T56:U56"/>
    <mergeCell ref="A57:B57"/>
    <mergeCell ref="C57:K57"/>
    <mergeCell ref="L57:M57"/>
    <mergeCell ref="N57:O57"/>
    <mergeCell ref="P57:Q57"/>
    <mergeCell ref="R57:S57"/>
    <mergeCell ref="T57:U57"/>
    <mergeCell ref="A58:B58"/>
    <mergeCell ref="C58:K58"/>
    <mergeCell ref="L58:M58"/>
    <mergeCell ref="N58:O58"/>
    <mergeCell ref="P58:Q58"/>
    <mergeCell ref="R58:S58"/>
    <mergeCell ref="T58:U58"/>
    <mergeCell ref="A59:B59"/>
    <mergeCell ref="C59:K59"/>
    <mergeCell ref="L59:M59"/>
    <mergeCell ref="N59:O59"/>
    <mergeCell ref="P59:Q59"/>
    <mergeCell ref="R59:S59"/>
    <mergeCell ref="T59:U59"/>
    <mergeCell ref="A60:B60"/>
    <mergeCell ref="C60:K60"/>
    <mergeCell ref="L60:M60"/>
    <mergeCell ref="N60:O60"/>
    <mergeCell ref="P60:Q60"/>
    <mergeCell ref="R60:S60"/>
    <mergeCell ref="T60:U60"/>
    <mergeCell ref="A61:B61"/>
    <mergeCell ref="C61:K61"/>
    <mergeCell ref="L61:M61"/>
    <mergeCell ref="N61:O61"/>
    <mergeCell ref="P61:Q61"/>
    <mergeCell ref="R61:S61"/>
    <mergeCell ref="T61:U61"/>
    <mergeCell ref="A62:B62"/>
    <mergeCell ref="C62:K62"/>
    <mergeCell ref="L62:M62"/>
    <mergeCell ref="N62:O62"/>
    <mergeCell ref="P62:Q62"/>
    <mergeCell ref="R62:S62"/>
    <mergeCell ref="T62:U62"/>
    <mergeCell ref="A63:B63"/>
    <mergeCell ref="C63:K63"/>
    <mergeCell ref="L63:M63"/>
    <mergeCell ref="N63:O63"/>
    <mergeCell ref="P63:Q63"/>
    <mergeCell ref="R63:S63"/>
    <mergeCell ref="T63:U63"/>
    <mergeCell ref="A64:B64"/>
    <mergeCell ref="C64:K64"/>
    <mergeCell ref="L64:M64"/>
    <mergeCell ref="N64:O64"/>
    <mergeCell ref="P64:Q64"/>
    <mergeCell ref="R64:S64"/>
    <mergeCell ref="T64:U64"/>
    <mergeCell ref="A65:B65"/>
    <mergeCell ref="C65:K65"/>
    <mergeCell ref="L65:M65"/>
    <mergeCell ref="N65:O65"/>
    <mergeCell ref="P65:Q65"/>
    <mergeCell ref="R65:S65"/>
    <mergeCell ref="T65:U65"/>
    <mergeCell ref="A66:B66"/>
    <mergeCell ref="C66:K66"/>
    <mergeCell ref="L66:M66"/>
    <mergeCell ref="N66:O66"/>
    <mergeCell ref="P66:Q66"/>
    <mergeCell ref="R66:S66"/>
    <mergeCell ref="T66:U66"/>
    <mergeCell ref="A67:B67"/>
    <mergeCell ref="C67:K67"/>
    <mergeCell ref="L67:M67"/>
    <mergeCell ref="N67:O67"/>
    <mergeCell ref="P67:Q67"/>
    <mergeCell ref="R67:S67"/>
    <mergeCell ref="T67:U67"/>
    <mergeCell ref="A68:B68"/>
    <mergeCell ref="C68:K68"/>
    <mergeCell ref="L68:M68"/>
    <mergeCell ref="N68:O68"/>
    <mergeCell ref="P68:Q68"/>
    <mergeCell ref="R68:S68"/>
    <mergeCell ref="T68:U68"/>
    <mergeCell ref="A69:B69"/>
    <mergeCell ref="C69:K69"/>
    <mergeCell ref="L69:M69"/>
    <mergeCell ref="N69:O69"/>
    <mergeCell ref="P69:Q69"/>
    <mergeCell ref="R69:S69"/>
    <mergeCell ref="T69:U69"/>
    <mergeCell ref="A70:B70"/>
    <mergeCell ref="C70:K70"/>
    <mergeCell ref="L70:M70"/>
    <mergeCell ref="N70:O70"/>
    <mergeCell ref="P70:Q70"/>
    <mergeCell ref="R70:S70"/>
    <mergeCell ref="T70:U70"/>
    <mergeCell ref="A71:B71"/>
    <mergeCell ref="C71:K71"/>
    <mergeCell ref="L71:M71"/>
    <mergeCell ref="N71:O71"/>
    <mergeCell ref="P71:Q71"/>
    <mergeCell ref="R71:S71"/>
    <mergeCell ref="T71:U71"/>
    <mergeCell ref="A72:B72"/>
    <mergeCell ref="C72:K72"/>
    <mergeCell ref="L72:M72"/>
    <mergeCell ref="N72:O72"/>
    <mergeCell ref="P72:Q72"/>
    <mergeCell ref="R72:S72"/>
    <mergeCell ref="T72:U72"/>
    <mergeCell ref="A73:B73"/>
    <mergeCell ref="C73:K73"/>
    <mergeCell ref="L73:M73"/>
    <mergeCell ref="N73:O73"/>
    <mergeCell ref="P73:Q73"/>
    <mergeCell ref="R73:S73"/>
    <mergeCell ref="T73:U73"/>
    <mergeCell ref="A74:B74"/>
    <mergeCell ref="C74:K74"/>
    <mergeCell ref="L74:M74"/>
    <mergeCell ref="N74:O74"/>
    <mergeCell ref="P74:Q74"/>
    <mergeCell ref="R74:S74"/>
    <mergeCell ref="T74:U74"/>
    <mergeCell ref="A75:B75"/>
    <mergeCell ref="C75:K75"/>
    <mergeCell ref="L75:M75"/>
    <mergeCell ref="N75:O75"/>
    <mergeCell ref="P75:Q75"/>
    <mergeCell ref="R75:S75"/>
    <mergeCell ref="T75:U75"/>
    <mergeCell ref="A76:B76"/>
    <mergeCell ref="C76:K76"/>
    <mergeCell ref="L76:M76"/>
    <mergeCell ref="N76:O76"/>
    <mergeCell ref="P76:Q76"/>
    <mergeCell ref="R76:S76"/>
    <mergeCell ref="T76:U76"/>
    <mergeCell ref="A77:B77"/>
    <mergeCell ref="C77:K77"/>
    <mergeCell ref="L77:M77"/>
    <mergeCell ref="N77:O77"/>
    <mergeCell ref="P77:Q77"/>
    <mergeCell ref="R77:S77"/>
    <mergeCell ref="T77:U77"/>
    <mergeCell ref="A78:B78"/>
    <mergeCell ref="C78:K78"/>
    <mergeCell ref="L78:M78"/>
    <mergeCell ref="N78:O78"/>
    <mergeCell ref="P78:Q78"/>
    <mergeCell ref="R78:S78"/>
    <mergeCell ref="T78:U78"/>
    <mergeCell ref="A79:B79"/>
    <mergeCell ref="C79:K79"/>
    <mergeCell ref="L79:M79"/>
    <mergeCell ref="N79:O79"/>
    <mergeCell ref="P79:Q79"/>
    <mergeCell ref="R79:S79"/>
    <mergeCell ref="T79:U79"/>
    <mergeCell ref="A80:B80"/>
    <mergeCell ref="C80:K80"/>
    <mergeCell ref="L80:M80"/>
    <mergeCell ref="N80:O80"/>
    <mergeCell ref="P80:Q80"/>
    <mergeCell ref="R80:S80"/>
    <mergeCell ref="T80:U80"/>
    <mergeCell ref="A81:B81"/>
    <mergeCell ref="C81:K81"/>
    <mergeCell ref="L81:M81"/>
    <mergeCell ref="N81:O81"/>
    <mergeCell ref="P81:Q81"/>
    <mergeCell ref="R81:S81"/>
    <mergeCell ref="T81:U81"/>
    <mergeCell ref="A82:B82"/>
    <mergeCell ref="C82:K82"/>
    <mergeCell ref="L82:M82"/>
    <mergeCell ref="N82:O82"/>
    <mergeCell ref="P82:Q82"/>
    <mergeCell ref="R82:S82"/>
    <mergeCell ref="T82:U82"/>
    <mergeCell ref="A83:B83"/>
    <mergeCell ref="C83:K83"/>
    <mergeCell ref="L83:M83"/>
    <mergeCell ref="N83:O83"/>
    <mergeCell ref="P83:Q83"/>
    <mergeCell ref="R83:S83"/>
    <mergeCell ref="T83:U83"/>
    <mergeCell ref="A84:B84"/>
    <mergeCell ref="C84:K84"/>
    <mergeCell ref="L84:M84"/>
    <mergeCell ref="N84:O84"/>
    <mergeCell ref="P84:Q84"/>
    <mergeCell ref="R84:S84"/>
    <mergeCell ref="T84:U84"/>
    <mergeCell ref="A85:B85"/>
    <mergeCell ref="C85:K85"/>
    <mergeCell ref="L85:M85"/>
    <mergeCell ref="N85:O85"/>
    <mergeCell ref="P85:Q85"/>
    <mergeCell ref="R85:S85"/>
    <mergeCell ref="T85:U85"/>
    <mergeCell ref="A86:B86"/>
    <mergeCell ref="C86:K86"/>
    <mergeCell ref="L86:M86"/>
    <mergeCell ref="N86:O86"/>
    <mergeCell ref="P86:Q86"/>
    <mergeCell ref="R86:S86"/>
    <mergeCell ref="T86:U86"/>
    <mergeCell ref="A87:B87"/>
    <mergeCell ref="C87:K87"/>
    <mergeCell ref="L87:M87"/>
    <mergeCell ref="N87:O87"/>
    <mergeCell ref="P87:Q87"/>
    <mergeCell ref="R87:S87"/>
    <mergeCell ref="T87:U87"/>
    <mergeCell ref="A88:B88"/>
    <mergeCell ref="C88:K88"/>
    <mergeCell ref="L88:M88"/>
    <mergeCell ref="N88:O88"/>
    <mergeCell ref="P88:Q88"/>
    <mergeCell ref="R88:S88"/>
    <mergeCell ref="T88:U88"/>
    <mergeCell ref="A89:B89"/>
    <mergeCell ref="C89:K89"/>
    <mergeCell ref="L89:M89"/>
    <mergeCell ref="N89:O89"/>
    <mergeCell ref="P89:Q89"/>
    <mergeCell ref="R89:S89"/>
    <mergeCell ref="T89:U89"/>
    <mergeCell ref="A90:B90"/>
    <mergeCell ref="C90:K90"/>
    <mergeCell ref="L90:M90"/>
    <mergeCell ref="N90:O90"/>
    <mergeCell ref="P90:Q90"/>
    <mergeCell ref="R90:S90"/>
    <mergeCell ref="T90:U90"/>
    <mergeCell ref="A91:B91"/>
    <mergeCell ref="C91:K91"/>
    <mergeCell ref="L91:M91"/>
    <mergeCell ref="N91:O91"/>
    <mergeCell ref="P91:Q91"/>
    <mergeCell ref="R91:S91"/>
    <mergeCell ref="T91:U91"/>
    <mergeCell ref="A92:B92"/>
    <mergeCell ref="C92:K92"/>
    <mergeCell ref="L92:M92"/>
    <mergeCell ref="N92:O92"/>
    <mergeCell ref="P92:Q92"/>
    <mergeCell ref="R92:S92"/>
    <mergeCell ref="T92:U92"/>
    <mergeCell ref="A93:B93"/>
    <mergeCell ref="C93:K93"/>
    <mergeCell ref="L93:M93"/>
    <mergeCell ref="N93:O93"/>
    <mergeCell ref="P93:Q93"/>
    <mergeCell ref="R93:S93"/>
    <mergeCell ref="T93:U93"/>
    <mergeCell ref="A94:B94"/>
    <mergeCell ref="C94:K94"/>
    <mergeCell ref="L94:M94"/>
    <mergeCell ref="N94:O94"/>
    <mergeCell ref="P94:Q94"/>
    <mergeCell ref="R94:S94"/>
    <mergeCell ref="T94:U94"/>
    <mergeCell ref="A95:B95"/>
    <mergeCell ref="C95:K95"/>
    <mergeCell ref="L95:M95"/>
    <mergeCell ref="N95:O95"/>
    <mergeCell ref="P95:Q95"/>
    <mergeCell ref="R95:S95"/>
    <mergeCell ref="T95:U95"/>
    <mergeCell ref="A96:B96"/>
    <mergeCell ref="C96:K96"/>
    <mergeCell ref="L96:M96"/>
    <mergeCell ref="N96:O96"/>
    <mergeCell ref="P96:Q96"/>
    <mergeCell ref="R96:S96"/>
    <mergeCell ref="T96:U96"/>
    <mergeCell ref="A97:B97"/>
    <mergeCell ref="C97:K97"/>
    <mergeCell ref="L97:M97"/>
    <mergeCell ref="N97:O97"/>
    <mergeCell ref="P97:Q97"/>
    <mergeCell ref="R97:S97"/>
    <mergeCell ref="T97:U97"/>
    <mergeCell ref="A98:B98"/>
    <mergeCell ref="C98:K98"/>
    <mergeCell ref="L98:M98"/>
    <mergeCell ref="N98:O98"/>
    <mergeCell ref="P98:Q98"/>
    <mergeCell ref="R98:S98"/>
    <mergeCell ref="T98:U98"/>
    <mergeCell ref="A99:B99"/>
    <mergeCell ref="C99:K99"/>
    <mergeCell ref="L99:M99"/>
    <mergeCell ref="N99:O99"/>
    <mergeCell ref="P99:Q99"/>
    <mergeCell ref="R99:S99"/>
    <mergeCell ref="T99:U99"/>
    <mergeCell ref="A100:B100"/>
    <mergeCell ref="C100:K100"/>
    <mergeCell ref="L100:M100"/>
    <mergeCell ref="N100:O100"/>
    <mergeCell ref="P100:Q100"/>
    <mergeCell ref="R100:S100"/>
    <mergeCell ref="T100:U100"/>
    <mergeCell ref="A101:B101"/>
    <mergeCell ref="C101:K101"/>
    <mergeCell ref="L101:M101"/>
    <mergeCell ref="N101:O101"/>
    <mergeCell ref="P101:Q101"/>
    <mergeCell ref="R101:S101"/>
    <mergeCell ref="T101:U101"/>
    <mergeCell ref="A102:B102"/>
    <mergeCell ref="C102:K102"/>
    <mergeCell ref="L102:M102"/>
    <mergeCell ref="N102:O102"/>
    <mergeCell ref="P102:Q102"/>
    <mergeCell ref="R102:S102"/>
    <mergeCell ref="T102:U102"/>
    <mergeCell ref="A103:B103"/>
    <mergeCell ref="C103:K103"/>
    <mergeCell ref="L103:M103"/>
    <mergeCell ref="N103:O103"/>
    <mergeCell ref="P103:Q103"/>
    <mergeCell ref="R103:S103"/>
    <mergeCell ref="T103:U103"/>
    <mergeCell ref="A104:B104"/>
    <mergeCell ref="C104:K104"/>
    <mergeCell ref="L104:M104"/>
    <mergeCell ref="N104:O104"/>
    <mergeCell ref="P104:Q104"/>
    <mergeCell ref="R104:S104"/>
    <mergeCell ref="T104:U104"/>
    <mergeCell ref="A105:B105"/>
    <mergeCell ref="C105:K105"/>
    <mergeCell ref="L105:M105"/>
    <mergeCell ref="N105:O105"/>
    <mergeCell ref="P105:Q105"/>
    <mergeCell ref="R105:S105"/>
    <mergeCell ref="T105:U105"/>
    <mergeCell ref="A106:B106"/>
    <mergeCell ref="C106:K106"/>
    <mergeCell ref="L106:M106"/>
    <mergeCell ref="N106:O106"/>
    <mergeCell ref="P106:Q106"/>
    <mergeCell ref="R106:S106"/>
    <mergeCell ref="T106:U106"/>
    <mergeCell ref="A107:B107"/>
    <mergeCell ref="C107:K107"/>
    <mergeCell ref="L107:M107"/>
    <mergeCell ref="N107:O107"/>
    <mergeCell ref="P107:Q107"/>
    <mergeCell ref="R107:S107"/>
    <mergeCell ref="T107:U107"/>
    <mergeCell ref="A108:B108"/>
    <mergeCell ref="C108:K108"/>
    <mergeCell ref="L108:M108"/>
    <mergeCell ref="N108:O108"/>
    <mergeCell ref="P108:Q108"/>
    <mergeCell ref="R108:S108"/>
    <mergeCell ref="T108:U108"/>
    <mergeCell ref="A109:B109"/>
    <mergeCell ref="C109:K109"/>
    <mergeCell ref="L109:M109"/>
    <mergeCell ref="N109:O109"/>
    <mergeCell ref="P109:Q109"/>
    <mergeCell ref="R109:S109"/>
    <mergeCell ref="T109:U109"/>
    <mergeCell ref="A110:B110"/>
    <mergeCell ref="C110:K110"/>
    <mergeCell ref="L110:M110"/>
    <mergeCell ref="N110:O110"/>
    <mergeCell ref="P110:Q110"/>
    <mergeCell ref="R110:S110"/>
    <mergeCell ref="T110:U110"/>
    <mergeCell ref="A111:B111"/>
    <mergeCell ref="C111:K111"/>
    <mergeCell ref="L111:M111"/>
    <mergeCell ref="N111:O111"/>
    <mergeCell ref="P111:Q111"/>
    <mergeCell ref="R111:S111"/>
    <mergeCell ref="T111:U111"/>
    <mergeCell ref="A112:B112"/>
    <mergeCell ref="C112:K112"/>
    <mergeCell ref="L112:M112"/>
    <mergeCell ref="N112:O112"/>
    <mergeCell ref="P112:Q112"/>
    <mergeCell ref="R112:S112"/>
    <mergeCell ref="T112:U112"/>
    <mergeCell ref="A113:B113"/>
    <mergeCell ref="C113:K113"/>
    <mergeCell ref="L113:M113"/>
    <mergeCell ref="N113:O113"/>
    <mergeCell ref="P113:Q113"/>
    <mergeCell ref="R113:S113"/>
    <mergeCell ref="T113:U113"/>
    <mergeCell ref="A114:B114"/>
    <mergeCell ref="C114:K114"/>
    <mergeCell ref="L114:M114"/>
    <mergeCell ref="N114:O114"/>
    <mergeCell ref="P114:Q114"/>
    <mergeCell ref="R114:S114"/>
    <mergeCell ref="T114:U114"/>
    <mergeCell ref="A115:B115"/>
    <mergeCell ref="C115:K115"/>
    <mergeCell ref="L115:M115"/>
    <mergeCell ref="N115:O115"/>
    <mergeCell ref="P115:Q115"/>
    <mergeCell ref="R115:S115"/>
    <mergeCell ref="T115:U115"/>
    <mergeCell ref="A116:B116"/>
    <mergeCell ref="C116:K116"/>
    <mergeCell ref="L116:M116"/>
    <mergeCell ref="N116:O116"/>
    <mergeCell ref="P116:Q116"/>
    <mergeCell ref="R116:S116"/>
    <mergeCell ref="T116:U116"/>
    <mergeCell ref="A117:B117"/>
    <mergeCell ref="C117:K117"/>
    <mergeCell ref="L117:M117"/>
    <mergeCell ref="N117:O117"/>
    <mergeCell ref="P117:Q117"/>
    <mergeCell ref="R117:S117"/>
    <mergeCell ref="T117:U117"/>
    <mergeCell ref="A118:B118"/>
    <mergeCell ref="C118:K118"/>
    <mergeCell ref="L118:M118"/>
    <mergeCell ref="N118:O118"/>
    <mergeCell ref="P118:Q118"/>
    <mergeCell ref="R118:S118"/>
    <mergeCell ref="T118:U118"/>
    <mergeCell ref="A119:B119"/>
    <mergeCell ref="C119:K119"/>
    <mergeCell ref="L119:M119"/>
    <mergeCell ref="N119:O119"/>
    <mergeCell ref="P119:Q119"/>
    <mergeCell ref="R119:S119"/>
    <mergeCell ref="T119:U119"/>
    <mergeCell ref="A120:B120"/>
    <mergeCell ref="C120:K120"/>
    <mergeCell ref="L120:M120"/>
    <mergeCell ref="N120:O120"/>
    <mergeCell ref="P120:Q120"/>
    <mergeCell ref="R120:S120"/>
    <mergeCell ref="T120:U120"/>
    <mergeCell ref="A121:B121"/>
    <mergeCell ref="C121:K121"/>
    <mergeCell ref="L121:M121"/>
    <mergeCell ref="N121:O121"/>
    <mergeCell ref="P121:Q121"/>
    <mergeCell ref="R121:S121"/>
    <mergeCell ref="T121:U121"/>
    <mergeCell ref="A122:B122"/>
    <mergeCell ref="C122:K122"/>
    <mergeCell ref="L122:M122"/>
    <mergeCell ref="N122:O122"/>
    <mergeCell ref="P122:Q122"/>
    <mergeCell ref="R122:S122"/>
    <mergeCell ref="T122:U122"/>
    <mergeCell ref="A123:B123"/>
    <mergeCell ref="C123:K123"/>
    <mergeCell ref="L123:M123"/>
    <mergeCell ref="N123:O123"/>
    <mergeCell ref="P123:Q123"/>
    <mergeCell ref="R123:S123"/>
    <mergeCell ref="T123:U123"/>
    <mergeCell ref="A124:B124"/>
    <mergeCell ref="C124:K124"/>
    <mergeCell ref="L124:M124"/>
    <mergeCell ref="N124:O124"/>
    <mergeCell ref="P124:Q124"/>
    <mergeCell ref="R124:S124"/>
    <mergeCell ref="T124:U124"/>
    <mergeCell ref="A125:B125"/>
    <mergeCell ref="C125:K125"/>
    <mergeCell ref="L125:M125"/>
    <mergeCell ref="N125:O125"/>
    <mergeCell ref="P125:Q125"/>
    <mergeCell ref="R125:S125"/>
    <mergeCell ref="T125:U125"/>
    <mergeCell ref="A126:B126"/>
    <mergeCell ref="C126:K126"/>
    <mergeCell ref="L126:M126"/>
    <mergeCell ref="N126:O126"/>
    <mergeCell ref="P126:Q126"/>
    <mergeCell ref="R126:S126"/>
    <mergeCell ref="T126:U126"/>
    <mergeCell ref="A127:B127"/>
    <mergeCell ref="C127:K127"/>
    <mergeCell ref="L127:M127"/>
    <mergeCell ref="N127:O127"/>
    <mergeCell ref="P127:Q127"/>
    <mergeCell ref="R127:S127"/>
    <mergeCell ref="T127:U127"/>
    <mergeCell ref="A128:B128"/>
    <mergeCell ref="C128:K128"/>
    <mergeCell ref="L128:M128"/>
    <mergeCell ref="N128:O128"/>
    <mergeCell ref="P128:Q128"/>
    <mergeCell ref="R128:S128"/>
    <mergeCell ref="T128:U128"/>
    <mergeCell ref="A129:B129"/>
    <mergeCell ref="C129:K129"/>
    <mergeCell ref="L129:M129"/>
    <mergeCell ref="N129:O129"/>
    <mergeCell ref="P129:Q129"/>
    <mergeCell ref="R129:S129"/>
    <mergeCell ref="T129:U129"/>
    <mergeCell ref="A130:B130"/>
    <mergeCell ref="C130:K130"/>
    <mergeCell ref="L130:M130"/>
    <mergeCell ref="N130:O130"/>
    <mergeCell ref="P130:Q130"/>
    <mergeCell ref="R130:S130"/>
    <mergeCell ref="T130:U130"/>
    <mergeCell ref="A131:B131"/>
    <mergeCell ref="C131:K131"/>
    <mergeCell ref="L131:M131"/>
    <mergeCell ref="N131:O131"/>
    <mergeCell ref="P131:Q131"/>
    <mergeCell ref="R131:S131"/>
    <mergeCell ref="T131:U131"/>
    <mergeCell ref="A132:B132"/>
    <mergeCell ref="C132:K132"/>
    <mergeCell ref="L132:M132"/>
    <mergeCell ref="N132:O132"/>
    <mergeCell ref="P132:Q132"/>
    <mergeCell ref="R132:S132"/>
    <mergeCell ref="T132:U132"/>
    <mergeCell ref="A133:B133"/>
    <mergeCell ref="C133:K133"/>
    <mergeCell ref="L133:M133"/>
    <mergeCell ref="N133:O133"/>
    <mergeCell ref="P133:Q133"/>
    <mergeCell ref="R133:S133"/>
    <mergeCell ref="T133:U133"/>
    <mergeCell ref="A134:B134"/>
    <mergeCell ref="C134:K134"/>
    <mergeCell ref="L134:M134"/>
    <mergeCell ref="N134:O134"/>
    <mergeCell ref="P134:Q134"/>
    <mergeCell ref="R134:S134"/>
    <mergeCell ref="T134:U134"/>
    <mergeCell ref="A135:B135"/>
    <mergeCell ref="C135:K135"/>
    <mergeCell ref="L135:M135"/>
    <mergeCell ref="N135:O135"/>
    <mergeCell ref="P135:Q135"/>
    <mergeCell ref="R135:S135"/>
    <mergeCell ref="T135:U135"/>
    <mergeCell ref="A136:B136"/>
    <mergeCell ref="C136:K136"/>
    <mergeCell ref="L136:M136"/>
    <mergeCell ref="N136:O136"/>
    <mergeCell ref="P136:Q136"/>
    <mergeCell ref="R136:S136"/>
    <mergeCell ref="T136:U136"/>
    <mergeCell ref="A137:B137"/>
    <mergeCell ref="C137:K137"/>
    <mergeCell ref="L137:M137"/>
    <mergeCell ref="N137:O137"/>
    <mergeCell ref="P137:Q137"/>
    <mergeCell ref="R137:S137"/>
    <mergeCell ref="T137:U137"/>
    <mergeCell ref="A138:B138"/>
    <mergeCell ref="C138:K138"/>
    <mergeCell ref="L138:M138"/>
    <mergeCell ref="N138:O138"/>
    <mergeCell ref="P138:Q138"/>
    <mergeCell ref="R138:S138"/>
    <mergeCell ref="T138:U138"/>
    <mergeCell ref="A139:B139"/>
    <mergeCell ref="C139:K139"/>
    <mergeCell ref="L139:M139"/>
    <mergeCell ref="N139:O139"/>
    <mergeCell ref="P139:Q139"/>
    <mergeCell ref="R139:S139"/>
    <mergeCell ref="T139:U139"/>
    <mergeCell ref="A140:B140"/>
    <mergeCell ref="C140:K140"/>
    <mergeCell ref="L140:M140"/>
    <mergeCell ref="N140:O140"/>
    <mergeCell ref="P140:Q140"/>
    <mergeCell ref="R140:S140"/>
    <mergeCell ref="T140:U140"/>
    <mergeCell ref="A141:B141"/>
    <mergeCell ref="C141:K141"/>
    <mergeCell ref="L141:M141"/>
    <mergeCell ref="N141:O141"/>
    <mergeCell ref="P141:Q141"/>
    <mergeCell ref="R141:S141"/>
    <mergeCell ref="T141:U1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Cozy</cp:lastModifiedBy>
  <dcterms:created xsi:type="dcterms:W3CDTF">2021-04-21T05:32:00Z</dcterms:created>
  <dcterms:modified xsi:type="dcterms:W3CDTF">2021-07-01T05:18:29Z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FB7E59A4C35A414D83612AFD349C6846</vt:lpwstr>
  </property>
</Properties>
</file>