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90" windowHeight="112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<sst xmlns="http://schemas.openxmlformats.org/spreadsheetml/2006/main" count="126" uniqueCount="126">
  <si>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</si>
  <si>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</si>
  <si>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</si>
  <si>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</si>
  <si>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1、用户负责为用例的相对收益、相对损失部分打分，
2、利益表示“如果实现，给客户带来的利益”；损失表示“如果不实现，给用户带来的损失”；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</si>
  <si>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</si>
  <si>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相对收益权重为2  相对损失权重为1  相对成本权重为1  相对风险权重为0.5</t>
  </si>
  <si>
    <t>SRA20201-G11-QFD-用户打分表</t>
  </si>
  <si>
    <t>编号</t>
  </si>
  <si>
    <t>描述</t>
  </si>
  <si>
    <t>相对收益</t>
  </si>
  <si>
    <t>相对损失</t>
  </si>
  <si>
    <t>相对成本</t>
  </si>
  <si>
    <t>相对风险</t>
  </si>
  <si>
    <t>优先级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</si>
  <si>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</si>
  <si>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</si>
  <si>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</si>
  <si>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</si>
  <si>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</si>
  <si>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</si>
  <si>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</si>
  <si>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</si>
  <si>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</si>
  <si>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</si>
  <si>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</si>
  <si>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</si>
  <si>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</si>
  <si>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</si>
  <si>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</si>
  <si>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</si>
  <si>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</si>
  <si>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</si>
  <si>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</si>
  <si>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</si>
  <si>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</si>
  <si>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</si>
  <si>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</si>
  <si>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</si>
  <si>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</si>
  <si>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</si>
  <si>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</si>
  <si>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</si>
  <si>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</si>
  <si>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</si>
  <si>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</si>
  <si>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</si>
  <si>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</si>
  <si>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</si>
  <si>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</si>
  <si>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</si>
  <si>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</si>
  <si>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</si>
  <si>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</si>
  <si>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</si>
  <si>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</si>
  <si>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</si>
  <si>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</si>
  <si>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</si>
  <si>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</si>
  <si>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</si>
  <si>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</si>
  <si>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</si>
  <si>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</si>
  <si>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</si>
  <si>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</si>
  <si>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</si>
  <si>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</si>
  <si>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</si>
  <si>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</si>
  <si>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</si>
  <si>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</si>
  <si>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</si>
  <si>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</si>
  <si>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</si>
  <si>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</si>
  <si>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</si>
  <si>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</si>
  <si>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</si>
  <si>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</si>
  <si>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</si>
  <si>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</si>
  <si>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</si>
  <si>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</si>
  <si>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</si>
  <si>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</si>
  <si>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</si>
  <si>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</si>
  <si>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</si>
  <si>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</si>
  <si>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</si>
  <si>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</si>
  <si>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可见权限</t>
  </si>
  <si>
    <t>1.3.4</t>
  </si>
  <si>
    <t>上传帖子</t>
  </si>
  <si>
    <t>1.3.4.1</t>
  </si>
  <si>
    <t>钓点定位选择</t>
  </si>
  <si>
    <t>社交</t>
  </si>
  <si>
    <t>1.4.1</t>
  </si>
  <si>
    <t>动态点赞评论转发</t>
  </si>
  <si>
    <t>1.4.2</t>
  </si>
  <si>
    <t>帖子点赞评论转发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</si>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</sst>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1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22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0" borderId="18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25" borderId="23" applyNumberFormat="0" applyAlignment="0" applyProtection="0">
      <alignment vertical="center"/>
    </xf>
    <xf numFmtId="0" fontId="17" fillId="25" borderId="20" applyNumberFormat="0" applyAlignment="0" applyProtection="0">
      <alignment vertical="center"/>
    </xf>
    <xf numFmtId="0" fontId="12" fillId="12" borderId="21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0" fillId="0" borderId="12" xfId="0" applyFont="1" applyBorder="1" applyAlignment="1">
      <alignment horizontal="left" vertical="center" indent="3"/>
    </xf>
    <xf numFmtId="0" fontId="3" fillId="2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showGridLines="0" tabSelected="1" topLeftCell="A6" workbookViewId="0">
      <selection activeCell="R75" sqref="R75:S75"/>
    </sheetView>
  </sheetViews>
  <sheetFormatPr defaultColWidth="9" defaultRowHeight="14"/>
  <cols>
    <col min="1" max="16384" width="9" style="1"/>
  </cols>
  <sheetData>
    <row r="1" ht="14.75"/>
    <row r="2" ht="23.7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8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9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9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9"/>
    </row>
    <row r="6" spans="2:14">
      <c r="B6" s="6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9"/>
    </row>
    <row r="7" spans="2:14"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9"/>
    </row>
    <row r="8" spans="2:14">
      <c r="B8" s="4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9"/>
    </row>
    <row r="9" spans="2:1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9"/>
    </row>
    <row r="10" spans="2:1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9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9"/>
    </row>
    <row r="12" spans="2:1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9"/>
    </row>
    <row r="13" ht="14.75" spans="2:14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0"/>
    </row>
    <row r="14" ht="14.75"/>
    <row r="15" ht="14.75"/>
    <row r="16" ht="15.5" spans="1:21">
      <c r="A16" s="9" t="s">
        <v>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37"/>
    </row>
    <row r="17" ht="14.75" spans="1:21">
      <c r="A17" s="11" t="s">
        <v>8</v>
      </c>
      <c r="B17" s="12"/>
      <c r="C17" s="13" t="s">
        <v>9</v>
      </c>
      <c r="D17" s="13"/>
      <c r="E17" s="13"/>
      <c r="F17" s="13"/>
      <c r="G17" s="13"/>
      <c r="H17" s="13"/>
      <c r="I17" s="13"/>
      <c r="J17" s="13"/>
      <c r="K17" s="12"/>
      <c r="L17" s="13" t="s">
        <v>10</v>
      </c>
      <c r="M17" s="12"/>
      <c r="N17" s="13" t="s">
        <v>11</v>
      </c>
      <c r="O17" s="12"/>
      <c r="P17" s="13" t="s">
        <v>12</v>
      </c>
      <c r="Q17" s="12"/>
      <c r="R17" s="13" t="s">
        <v>13</v>
      </c>
      <c r="S17" s="12"/>
      <c r="T17" s="13" t="s">
        <v>14</v>
      </c>
      <c r="U17" s="12"/>
    </row>
    <row r="18" spans="1:21">
      <c r="A18" s="14">
        <v>1</v>
      </c>
      <c r="B18" s="15"/>
      <c r="C18" s="14" t="s">
        <v>15</v>
      </c>
      <c r="D18" s="16"/>
      <c r="E18" s="16"/>
      <c r="F18" s="16"/>
      <c r="G18" s="16"/>
      <c r="H18" s="16"/>
      <c r="I18" s="16"/>
      <c r="J18" s="16"/>
      <c r="K18" s="15"/>
      <c r="L18" s="31"/>
      <c r="M18" s="32"/>
      <c r="N18" s="31"/>
      <c r="O18" s="32"/>
      <c r="P18" s="31"/>
      <c r="Q18" s="32"/>
      <c r="R18" s="31"/>
      <c r="S18" s="32"/>
      <c r="T18" s="31"/>
      <c r="U18" s="32"/>
    </row>
    <row r="19" spans="1:21">
      <c r="A19" s="14">
        <v>1.1</v>
      </c>
      <c r="B19" s="15"/>
      <c r="C19" s="17" t="s">
        <v>16</v>
      </c>
      <c r="D19" s="18"/>
      <c r="E19" s="18"/>
      <c r="F19" s="18"/>
      <c r="G19" s="18"/>
      <c r="H19" s="18"/>
      <c r="I19" s="18"/>
      <c r="J19" s="18"/>
      <c r="K19" s="33"/>
      <c r="L19" s="31"/>
      <c r="M19" s="32"/>
      <c r="N19" s="31"/>
      <c r="O19" s="32"/>
      <c r="P19" s="31"/>
      <c r="Q19" s="32"/>
      <c r="R19" s="31"/>
      <c r="S19" s="32"/>
      <c r="T19" s="31"/>
      <c r="U19" s="32"/>
    </row>
    <row r="20" spans="1:21">
      <c r="A20" s="14" t="s">
        <v>17</v>
      </c>
      <c r="B20" s="15"/>
      <c r="C20" s="19" t="s">
        <v>18</v>
      </c>
      <c r="D20" s="20"/>
      <c r="E20" s="20"/>
      <c r="F20" s="20"/>
      <c r="G20" s="20"/>
      <c r="H20" s="20"/>
      <c r="I20" s="20"/>
      <c r="J20" s="20"/>
      <c r="K20" s="34"/>
      <c r="L20" s="31">
        <v>9</v>
      </c>
      <c r="M20" s="32"/>
      <c r="N20" s="31">
        <v>9</v>
      </c>
      <c r="O20" s="32"/>
      <c r="P20" s="31">
        <v>5</v>
      </c>
      <c r="Q20" s="32"/>
      <c r="R20" s="31">
        <v>6</v>
      </c>
      <c r="S20" s="32"/>
      <c r="T20" s="31">
        <f>(1.5*L20+N20)/(SUM(1.5*L20:L81)+SUM(N20:N81))/(((P20/SUM(P20:P81)))+((R20/SUM(R20:R81))))</f>
        <v>1.62946474637735</v>
      </c>
      <c r="U20" s="32"/>
    </row>
    <row r="21" spans="1:21">
      <c r="A21" s="21" t="s">
        <v>19</v>
      </c>
      <c r="B21" s="22"/>
      <c r="C21" s="23" t="s">
        <v>20</v>
      </c>
      <c r="D21" s="24"/>
      <c r="E21" s="24"/>
      <c r="F21" s="24"/>
      <c r="G21" s="24"/>
      <c r="H21" s="24"/>
      <c r="I21" s="24"/>
      <c r="J21" s="24"/>
      <c r="K21" s="35"/>
      <c r="L21" s="31">
        <v>9</v>
      </c>
      <c r="M21" s="32"/>
      <c r="N21" s="31">
        <v>9</v>
      </c>
      <c r="O21" s="32"/>
      <c r="P21" s="31">
        <v>5</v>
      </c>
      <c r="Q21" s="32"/>
      <c r="R21" s="31">
        <v>7</v>
      </c>
      <c r="S21" s="32"/>
      <c r="T21" s="31">
        <f t="shared" ref="T21:T52" si="0">(1.5*L21+N21)/(SUM(1.5*L21:L82)+SUM(N21:N82))/(((P21/SUM(P21:P82)))+((R21/SUM(R21:R82))))</f>
        <v>1.50244515584186</v>
      </c>
      <c r="U21" s="32"/>
    </row>
    <row r="22" spans="1:21">
      <c r="A22" s="21" t="s">
        <v>21</v>
      </c>
      <c r="B22" s="22"/>
      <c r="C22" s="23" t="s">
        <v>22</v>
      </c>
      <c r="D22" s="24"/>
      <c r="E22" s="24"/>
      <c r="F22" s="24"/>
      <c r="G22" s="24"/>
      <c r="H22" s="24"/>
      <c r="I22" s="24"/>
      <c r="J22" s="24"/>
      <c r="K22" s="35"/>
      <c r="L22" s="31">
        <v>9</v>
      </c>
      <c r="M22" s="32"/>
      <c r="N22" s="31">
        <v>9</v>
      </c>
      <c r="O22" s="32"/>
      <c r="P22" s="31">
        <v>8</v>
      </c>
      <c r="Q22" s="32"/>
      <c r="R22" s="31">
        <v>4</v>
      </c>
      <c r="S22" s="32"/>
      <c r="T22" s="31">
        <f t="shared" si="0"/>
        <v>1.49833525549264</v>
      </c>
      <c r="U22" s="32"/>
    </row>
    <row r="23" spans="1:21">
      <c r="A23" s="21" t="s">
        <v>23</v>
      </c>
      <c r="B23" s="22"/>
      <c r="C23" s="23" t="s">
        <v>24</v>
      </c>
      <c r="D23" s="24"/>
      <c r="E23" s="24"/>
      <c r="F23" s="24"/>
      <c r="G23" s="24"/>
      <c r="H23" s="24"/>
      <c r="I23" s="24"/>
      <c r="J23" s="24"/>
      <c r="K23" s="35"/>
      <c r="L23" s="31">
        <v>9</v>
      </c>
      <c r="M23" s="32"/>
      <c r="N23" s="31">
        <v>9</v>
      </c>
      <c r="O23" s="32"/>
      <c r="P23" s="31">
        <v>7</v>
      </c>
      <c r="Q23" s="32"/>
      <c r="R23" s="31">
        <v>9</v>
      </c>
      <c r="S23" s="32"/>
      <c r="T23" s="31">
        <f t="shared" si="0"/>
        <v>1.1346697656137</v>
      </c>
      <c r="U23" s="32"/>
    </row>
    <row r="24" spans="1:21">
      <c r="A24" s="21" t="s">
        <v>25</v>
      </c>
      <c r="B24" s="22"/>
      <c r="C24" s="23" t="s">
        <v>26</v>
      </c>
      <c r="D24" s="24"/>
      <c r="E24" s="24"/>
      <c r="F24" s="24"/>
      <c r="G24" s="24"/>
      <c r="H24" s="24"/>
      <c r="I24" s="24"/>
      <c r="J24" s="24"/>
      <c r="K24" s="35"/>
      <c r="L24" s="31">
        <v>9</v>
      </c>
      <c r="M24" s="32"/>
      <c r="N24" s="31">
        <v>9</v>
      </c>
      <c r="O24" s="32"/>
      <c r="P24" s="31">
        <v>7</v>
      </c>
      <c r="Q24" s="32"/>
      <c r="R24" s="31">
        <v>8</v>
      </c>
      <c r="S24" s="32"/>
      <c r="T24" s="31">
        <f t="shared" si="0"/>
        <v>1.20614341227921</v>
      </c>
      <c r="U24" s="32"/>
    </row>
    <row r="25" spans="1:21">
      <c r="A25" s="14" t="s">
        <v>27</v>
      </c>
      <c r="B25" s="15"/>
      <c r="C25" s="19" t="s">
        <v>28</v>
      </c>
      <c r="D25" s="20"/>
      <c r="E25" s="20"/>
      <c r="F25" s="20"/>
      <c r="G25" s="20"/>
      <c r="H25" s="20"/>
      <c r="I25" s="20"/>
      <c r="J25" s="20"/>
      <c r="K25" s="34"/>
      <c r="L25" s="31"/>
      <c r="M25" s="32"/>
      <c r="N25" s="31"/>
      <c r="O25" s="32"/>
      <c r="P25" s="31"/>
      <c r="Q25" s="32"/>
      <c r="R25" s="31"/>
      <c r="S25" s="32"/>
      <c r="T25" s="31"/>
      <c r="U25" s="32"/>
    </row>
    <row r="26" spans="1:21">
      <c r="A26" s="21" t="s">
        <v>29</v>
      </c>
      <c r="B26" s="22"/>
      <c r="C26" s="23" t="s">
        <v>30</v>
      </c>
      <c r="D26" s="24"/>
      <c r="E26" s="24"/>
      <c r="F26" s="24"/>
      <c r="G26" s="24"/>
      <c r="H26" s="24"/>
      <c r="I26" s="24"/>
      <c r="J26" s="24"/>
      <c r="K26" s="35"/>
      <c r="L26" s="31">
        <v>8</v>
      </c>
      <c r="M26" s="32"/>
      <c r="N26" s="31">
        <v>8</v>
      </c>
      <c r="O26" s="32"/>
      <c r="P26" s="31">
        <v>9</v>
      </c>
      <c r="Q26" s="32"/>
      <c r="R26" s="31">
        <v>7</v>
      </c>
      <c r="S26" s="32"/>
      <c r="T26" s="31">
        <f t="shared" si="0"/>
        <v>1.00531354080115</v>
      </c>
      <c r="U26" s="32"/>
    </row>
    <row r="27" spans="1:21">
      <c r="A27" s="21" t="s">
        <v>31</v>
      </c>
      <c r="B27" s="22"/>
      <c r="C27" s="23" t="s">
        <v>32</v>
      </c>
      <c r="D27" s="24"/>
      <c r="E27" s="24"/>
      <c r="F27" s="24"/>
      <c r="G27" s="24"/>
      <c r="H27" s="24"/>
      <c r="I27" s="24"/>
      <c r="J27" s="24"/>
      <c r="K27" s="35"/>
      <c r="L27" s="31">
        <v>8</v>
      </c>
      <c r="M27" s="32"/>
      <c r="N27" s="31">
        <v>8</v>
      </c>
      <c r="O27" s="32"/>
      <c r="P27" s="31">
        <v>4</v>
      </c>
      <c r="Q27" s="32"/>
      <c r="R27" s="31">
        <v>4</v>
      </c>
      <c r="S27" s="32"/>
      <c r="T27" s="31">
        <f>(1.5*L27+N27)/(SUM(1.5*L27:L88)+SUM(N27:N88))/(((P27/SUM(P27:P88)))+((R27/SUM(R27:R88))))</f>
        <v>2.00390065875932</v>
      </c>
      <c r="U27" s="32"/>
    </row>
    <row r="28" spans="1:21">
      <c r="A28" s="21" t="s">
        <v>33</v>
      </c>
      <c r="B28" s="22"/>
      <c r="C28" s="23" t="s">
        <v>34</v>
      </c>
      <c r="D28" s="24"/>
      <c r="E28" s="24"/>
      <c r="F28" s="24"/>
      <c r="G28" s="24"/>
      <c r="H28" s="24"/>
      <c r="I28" s="24"/>
      <c r="J28" s="24"/>
      <c r="K28" s="35"/>
      <c r="L28" s="31">
        <v>8</v>
      </c>
      <c r="M28" s="32"/>
      <c r="N28" s="31">
        <v>8</v>
      </c>
      <c r="O28" s="32"/>
      <c r="P28" s="31">
        <v>5</v>
      </c>
      <c r="Q28" s="32"/>
      <c r="R28" s="31">
        <v>7</v>
      </c>
      <c r="S28" s="32"/>
      <c r="T28" s="31">
        <f t="shared" si="0"/>
        <v>1.35061776648644</v>
      </c>
      <c r="U28" s="32"/>
    </row>
    <row r="29" spans="1:21">
      <c r="A29" s="21" t="s">
        <v>35</v>
      </c>
      <c r="B29" s="22"/>
      <c r="C29" s="23" t="s">
        <v>36</v>
      </c>
      <c r="D29" s="24"/>
      <c r="E29" s="24"/>
      <c r="F29" s="24"/>
      <c r="G29" s="24"/>
      <c r="H29" s="24"/>
      <c r="I29" s="24"/>
      <c r="J29" s="24"/>
      <c r="K29" s="35"/>
      <c r="L29" s="31">
        <v>8</v>
      </c>
      <c r="M29" s="32"/>
      <c r="N29" s="31">
        <v>8</v>
      </c>
      <c r="O29" s="32"/>
      <c r="P29" s="31">
        <v>6</v>
      </c>
      <c r="Q29" s="32"/>
      <c r="R29" s="31">
        <v>5</v>
      </c>
      <c r="S29" s="32"/>
      <c r="T29" s="31">
        <f t="shared" si="0"/>
        <v>1.4694051432457</v>
      </c>
      <c r="U29" s="32"/>
    </row>
    <row r="30" spans="1:21">
      <c r="A30" s="14" t="s">
        <v>37</v>
      </c>
      <c r="B30" s="15"/>
      <c r="C30" s="19" t="s">
        <v>38</v>
      </c>
      <c r="D30" s="20"/>
      <c r="E30" s="20"/>
      <c r="F30" s="20"/>
      <c r="G30" s="20"/>
      <c r="H30" s="20"/>
      <c r="I30" s="20"/>
      <c r="J30" s="20"/>
      <c r="K30" s="34"/>
      <c r="L30" s="31"/>
      <c r="M30" s="32"/>
      <c r="N30" s="31"/>
      <c r="O30" s="32"/>
      <c r="P30" s="31"/>
      <c r="Q30" s="32"/>
      <c r="R30" s="31"/>
      <c r="S30" s="32"/>
      <c r="T30" s="31"/>
      <c r="U30" s="32"/>
    </row>
    <row r="31" spans="1:21">
      <c r="A31" s="21" t="s">
        <v>39</v>
      </c>
      <c r="B31" s="22"/>
      <c r="C31" s="23" t="s">
        <v>40</v>
      </c>
      <c r="D31" s="24"/>
      <c r="E31" s="24"/>
      <c r="F31" s="24"/>
      <c r="G31" s="24"/>
      <c r="H31" s="24"/>
      <c r="I31" s="24"/>
      <c r="J31" s="24"/>
      <c r="K31" s="35"/>
      <c r="L31" s="31">
        <v>8</v>
      </c>
      <c r="M31" s="32"/>
      <c r="N31" s="31">
        <v>8</v>
      </c>
      <c r="O31" s="32"/>
      <c r="P31" s="31">
        <v>7</v>
      </c>
      <c r="Q31" s="32"/>
      <c r="R31" s="31">
        <v>8</v>
      </c>
      <c r="S31" s="32"/>
      <c r="T31" s="31">
        <f t="shared" si="0"/>
        <v>1.08378851255166</v>
      </c>
      <c r="U31" s="32"/>
    </row>
    <row r="32" spans="1:21">
      <c r="A32" s="21" t="s">
        <v>41</v>
      </c>
      <c r="B32" s="22"/>
      <c r="C32" s="25" t="s">
        <v>42</v>
      </c>
      <c r="D32" s="25"/>
      <c r="E32" s="25"/>
      <c r="F32" s="25"/>
      <c r="G32" s="25"/>
      <c r="H32" s="25"/>
      <c r="I32" s="25"/>
      <c r="J32" s="25"/>
      <c r="K32" s="25"/>
      <c r="L32" s="31">
        <v>8</v>
      </c>
      <c r="M32" s="32"/>
      <c r="N32" s="31">
        <v>8</v>
      </c>
      <c r="O32" s="32"/>
      <c r="P32" s="31">
        <v>8</v>
      </c>
      <c r="Q32" s="32"/>
      <c r="R32" s="31">
        <v>7</v>
      </c>
      <c r="S32" s="32"/>
      <c r="T32" s="31">
        <f t="shared" si="0"/>
        <v>1.07770134505827</v>
      </c>
      <c r="U32" s="32"/>
    </row>
    <row r="33" spans="1:21">
      <c r="A33" s="21" t="s">
        <v>43</v>
      </c>
      <c r="B33" s="22"/>
      <c r="C33" s="23" t="s">
        <v>44</v>
      </c>
      <c r="D33" s="24"/>
      <c r="E33" s="24"/>
      <c r="F33" s="24"/>
      <c r="G33" s="24"/>
      <c r="H33" s="24"/>
      <c r="I33" s="24"/>
      <c r="J33" s="24"/>
      <c r="K33" s="35"/>
      <c r="L33" s="31">
        <v>8</v>
      </c>
      <c r="M33" s="32"/>
      <c r="N33" s="31">
        <v>8</v>
      </c>
      <c r="O33" s="32"/>
      <c r="P33" s="31">
        <v>8</v>
      </c>
      <c r="Q33" s="32"/>
      <c r="R33" s="31">
        <v>8</v>
      </c>
      <c r="S33" s="32"/>
      <c r="T33" s="31">
        <f t="shared" si="0"/>
        <v>1.00762425673856</v>
      </c>
      <c r="U33" s="32"/>
    </row>
    <row r="34" spans="1:21">
      <c r="A34" s="21" t="s">
        <v>45</v>
      </c>
      <c r="B34" s="22"/>
      <c r="C34" s="23" t="s">
        <v>46</v>
      </c>
      <c r="D34" s="24"/>
      <c r="E34" s="24"/>
      <c r="F34" s="24"/>
      <c r="G34" s="24"/>
      <c r="H34" s="24"/>
      <c r="I34" s="24"/>
      <c r="J34" s="24"/>
      <c r="K34" s="35"/>
      <c r="L34" s="31">
        <v>8</v>
      </c>
      <c r="M34" s="32"/>
      <c r="N34" s="31">
        <v>8</v>
      </c>
      <c r="O34" s="32"/>
      <c r="P34" s="31">
        <v>5</v>
      </c>
      <c r="Q34" s="32"/>
      <c r="R34" s="31">
        <v>6</v>
      </c>
      <c r="S34" s="32"/>
      <c r="T34" s="31">
        <f t="shared" si="0"/>
        <v>1.45972513838519</v>
      </c>
      <c r="U34" s="32"/>
    </row>
    <row r="35" spans="1:21">
      <c r="A35" s="14" t="s">
        <v>47</v>
      </c>
      <c r="B35" s="15"/>
      <c r="C35" s="19" t="s">
        <v>48</v>
      </c>
      <c r="D35" s="20"/>
      <c r="E35" s="20"/>
      <c r="F35" s="20"/>
      <c r="G35" s="20"/>
      <c r="H35" s="20"/>
      <c r="I35" s="20"/>
      <c r="J35" s="20"/>
      <c r="K35" s="34"/>
      <c r="L35" s="31"/>
      <c r="M35" s="32"/>
      <c r="N35" s="31"/>
      <c r="O35" s="32"/>
      <c r="P35" s="31"/>
      <c r="Q35" s="32"/>
      <c r="R35" s="31"/>
      <c r="S35" s="32"/>
      <c r="T35" s="31"/>
      <c r="U35" s="32"/>
    </row>
    <row r="36" spans="1:21">
      <c r="A36" s="21" t="s">
        <v>49</v>
      </c>
      <c r="B36" s="22"/>
      <c r="C36" s="23" t="s">
        <v>50</v>
      </c>
      <c r="D36" s="24"/>
      <c r="E36" s="24"/>
      <c r="F36" s="24"/>
      <c r="G36" s="24"/>
      <c r="H36" s="24"/>
      <c r="I36" s="24"/>
      <c r="J36" s="24"/>
      <c r="K36" s="35"/>
      <c r="L36" s="31">
        <v>8</v>
      </c>
      <c r="M36" s="32"/>
      <c r="N36" s="31">
        <v>8</v>
      </c>
      <c r="O36" s="32"/>
      <c r="P36" s="31">
        <v>6</v>
      </c>
      <c r="Q36" s="32"/>
      <c r="R36" s="31">
        <v>4</v>
      </c>
      <c r="S36" s="32"/>
      <c r="T36" s="31">
        <f t="shared" si="0"/>
        <v>1.6031941031941</v>
      </c>
      <c r="U36" s="32"/>
    </row>
    <row r="37" spans="1:21">
      <c r="A37" s="14">
        <v>1.2</v>
      </c>
      <c r="B37" s="15"/>
      <c r="C37" s="17" t="s">
        <v>51</v>
      </c>
      <c r="D37" s="18"/>
      <c r="E37" s="18"/>
      <c r="F37" s="18"/>
      <c r="G37" s="18"/>
      <c r="H37" s="18"/>
      <c r="I37" s="18"/>
      <c r="J37" s="18"/>
      <c r="K37" s="33"/>
      <c r="L37" s="31"/>
      <c r="M37" s="32"/>
      <c r="N37" s="31"/>
      <c r="O37" s="32"/>
      <c r="P37" s="31"/>
      <c r="Q37" s="32"/>
      <c r="R37" s="31"/>
      <c r="S37" s="32"/>
      <c r="T37" s="31"/>
      <c r="U37" s="32"/>
    </row>
    <row r="38" spans="1:21">
      <c r="A38" s="14" t="s">
        <v>52</v>
      </c>
      <c r="B38" s="15"/>
      <c r="C38" s="19" t="s">
        <v>53</v>
      </c>
      <c r="D38" s="20"/>
      <c r="E38" s="20"/>
      <c r="F38" s="20"/>
      <c r="G38" s="20"/>
      <c r="H38" s="20"/>
      <c r="I38" s="20"/>
      <c r="J38" s="20"/>
      <c r="K38" s="34"/>
      <c r="L38" s="31">
        <v>9</v>
      </c>
      <c r="M38" s="32"/>
      <c r="N38" s="31">
        <v>9</v>
      </c>
      <c r="O38" s="32"/>
      <c r="P38" s="31">
        <v>9</v>
      </c>
      <c r="Q38" s="32"/>
      <c r="R38" s="31">
        <v>9</v>
      </c>
      <c r="S38" s="32"/>
      <c r="T38" s="31">
        <f t="shared" si="0"/>
        <v>1.00612008175931</v>
      </c>
      <c r="U38" s="32"/>
    </row>
    <row r="39" spans="1:21">
      <c r="A39" s="21" t="s">
        <v>54</v>
      </c>
      <c r="B39" s="22"/>
      <c r="C39" s="23" t="s">
        <v>55</v>
      </c>
      <c r="D39" s="24"/>
      <c r="E39" s="24"/>
      <c r="F39" s="24"/>
      <c r="G39" s="24"/>
      <c r="H39" s="24"/>
      <c r="I39" s="24"/>
      <c r="J39" s="24"/>
      <c r="K39" s="35"/>
      <c r="L39" s="31">
        <v>9</v>
      </c>
      <c r="M39" s="32"/>
      <c r="N39" s="31">
        <v>9</v>
      </c>
      <c r="O39" s="32"/>
      <c r="P39" s="31">
        <v>5</v>
      </c>
      <c r="Q39" s="32"/>
      <c r="R39" s="31">
        <v>3</v>
      </c>
      <c r="S39" s="32"/>
      <c r="T39" s="31">
        <f t="shared" si="0"/>
        <v>2.2358065081452</v>
      </c>
      <c r="U39" s="32"/>
    </row>
    <row r="40" spans="1:21">
      <c r="A40" s="21" t="s">
        <v>56</v>
      </c>
      <c r="B40" s="22"/>
      <c r="C40" s="23" t="s">
        <v>57</v>
      </c>
      <c r="D40" s="24"/>
      <c r="E40" s="24"/>
      <c r="F40" s="24"/>
      <c r="G40" s="24"/>
      <c r="H40" s="24"/>
      <c r="I40" s="24"/>
      <c r="J40" s="24"/>
      <c r="K40" s="35"/>
      <c r="L40" s="31">
        <v>9</v>
      </c>
      <c r="M40" s="32"/>
      <c r="N40" s="31">
        <v>9</v>
      </c>
      <c r="O40" s="32"/>
      <c r="P40" s="31">
        <v>5</v>
      </c>
      <c r="Q40" s="32"/>
      <c r="R40" s="31">
        <v>3</v>
      </c>
      <c r="S40" s="32"/>
      <c r="T40" s="31">
        <f t="shared" si="0"/>
        <v>2.26211544004671</v>
      </c>
      <c r="U40" s="32"/>
    </row>
    <row r="41" spans="1:21">
      <c r="A41" s="21" t="s">
        <v>58</v>
      </c>
      <c r="B41" s="22"/>
      <c r="C41" s="23" t="s">
        <v>59</v>
      </c>
      <c r="D41" s="24"/>
      <c r="E41" s="24"/>
      <c r="F41" s="24"/>
      <c r="G41" s="24"/>
      <c r="H41" s="24"/>
      <c r="I41" s="24"/>
      <c r="J41" s="24"/>
      <c r="K41" s="35"/>
      <c r="L41" s="31">
        <v>9</v>
      </c>
      <c r="M41" s="32"/>
      <c r="N41" s="31">
        <v>9</v>
      </c>
      <c r="O41" s="32"/>
      <c r="P41" s="31">
        <v>6</v>
      </c>
      <c r="Q41" s="32"/>
      <c r="R41" s="31">
        <v>7</v>
      </c>
      <c r="S41" s="32"/>
      <c r="T41" s="31">
        <f t="shared" si="0"/>
        <v>1.42341461018191</v>
      </c>
      <c r="U41" s="32"/>
    </row>
    <row r="42" spans="1:21">
      <c r="A42" s="21" t="s">
        <v>60</v>
      </c>
      <c r="B42" s="22"/>
      <c r="C42" s="23" t="s">
        <v>61</v>
      </c>
      <c r="D42" s="24"/>
      <c r="E42" s="24"/>
      <c r="F42" s="24"/>
      <c r="G42" s="24"/>
      <c r="H42" s="24"/>
      <c r="I42" s="24"/>
      <c r="J42" s="24"/>
      <c r="K42" s="35"/>
      <c r="L42" s="31">
        <v>9</v>
      </c>
      <c r="M42" s="32"/>
      <c r="N42" s="31">
        <v>9</v>
      </c>
      <c r="O42" s="32"/>
      <c r="P42" s="31">
        <v>5</v>
      </c>
      <c r="Q42" s="32"/>
      <c r="R42" s="31">
        <v>6</v>
      </c>
      <c r="S42" s="32"/>
      <c r="T42" s="31">
        <f t="shared" si="0"/>
        <v>1.68923076923077</v>
      </c>
      <c r="U42" s="32"/>
    </row>
    <row r="43" spans="1:21">
      <c r="A43" s="21" t="s">
        <v>62</v>
      </c>
      <c r="B43" s="22"/>
      <c r="C43" s="23" t="s">
        <v>63</v>
      </c>
      <c r="D43" s="24"/>
      <c r="E43" s="24"/>
      <c r="F43" s="24"/>
      <c r="G43" s="24"/>
      <c r="H43" s="24"/>
      <c r="I43" s="24"/>
      <c r="J43" s="24"/>
      <c r="K43" s="35"/>
      <c r="L43" s="31">
        <v>9</v>
      </c>
      <c r="M43" s="32"/>
      <c r="N43" s="31">
        <v>9</v>
      </c>
      <c r="O43" s="32"/>
      <c r="P43" s="31">
        <v>4</v>
      </c>
      <c r="Q43" s="32"/>
      <c r="R43" s="31">
        <v>4</v>
      </c>
      <c r="S43" s="32"/>
      <c r="T43" s="31">
        <f t="shared" si="0"/>
        <v>2.33601599125212</v>
      </c>
      <c r="U43" s="32"/>
    </row>
    <row r="44" spans="1:21">
      <c r="A44" s="14" t="s">
        <v>64</v>
      </c>
      <c r="B44" s="15"/>
      <c r="C44" s="19" t="s">
        <v>65</v>
      </c>
      <c r="D44" s="20"/>
      <c r="E44" s="20"/>
      <c r="F44" s="20"/>
      <c r="G44" s="20"/>
      <c r="H44" s="20"/>
      <c r="I44" s="20"/>
      <c r="J44" s="20"/>
      <c r="K44" s="34"/>
      <c r="L44" s="31">
        <v>9</v>
      </c>
      <c r="M44" s="32"/>
      <c r="N44" s="31">
        <v>9</v>
      </c>
      <c r="O44" s="32"/>
      <c r="P44" s="31">
        <v>8</v>
      </c>
      <c r="Q44" s="32"/>
      <c r="R44" s="31">
        <v>8</v>
      </c>
      <c r="S44" s="32"/>
      <c r="T44" s="31">
        <f t="shared" si="0"/>
        <v>1.18612509939041</v>
      </c>
      <c r="U44" s="32"/>
    </row>
    <row r="45" spans="1:21">
      <c r="A45" s="21" t="s">
        <v>66</v>
      </c>
      <c r="B45" s="22"/>
      <c r="C45" s="23" t="s">
        <v>67</v>
      </c>
      <c r="D45" s="24"/>
      <c r="E45" s="24"/>
      <c r="F45" s="24"/>
      <c r="G45" s="24"/>
      <c r="H45" s="24"/>
      <c r="I45" s="24"/>
      <c r="J45" s="24"/>
      <c r="K45" s="35"/>
      <c r="L45" s="31">
        <v>9</v>
      </c>
      <c r="M45" s="32"/>
      <c r="N45" s="31">
        <v>9</v>
      </c>
      <c r="O45" s="32"/>
      <c r="P45" s="31">
        <v>8</v>
      </c>
      <c r="Q45" s="32"/>
      <c r="R45" s="31">
        <v>7</v>
      </c>
      <c r="S45" s="32"/>
      <c r="T45" s="31">
        <f t="shared" si="0"/>
        <v>1.26031909861594</v>
      </c>
      <c r="U45" s="32"/>
    </row>
    <row r="46" spans="1:21">
      <c r="A46" s="21" t="s">
        <v>68</v>
      </c>
      <c r="B46" s="22"/>
      <c r="C46" s="26" t="s">
        <v>69</v>
      </c>
      <c r="D46" s="27"/>
      <c r="E46" s="27"/>
      <c r="F46" s="27"/>
      <c r="G46" s="27"/>
      <c r="H46" s="27"/>
      <c r="I46" s="27"/>
      <c r="J46" s="27"/>
      <c r="K46" s="36"/>
      <c r="L46" s="31">
        <v>9</v>
      </c>
      <c r="M46" s="32"/>
      <c r="N46" s="31">
        <v>9</v>
      </c>
      <c r="O46" s="32"/>
      <c r="P46" s="31">
        <v>9</v>
      </c>
      <c r="Q46" s="32"/>
      <c r="R46" s="31">
        <v>7</v>
      </c>
      <c r="S46" s="32"/>
      <c r="T46" s="31">
        <f t="shared" si="0"/>
        <v>1.17922821263844</v>
      </c>
      <c r="U46" s="32"/>
    </row>
    <row r="47" spans="1:21">
      <c r="A47" s="21" t="s">
        <v>70</v>
      </c>
      <c r="B47" s="22"/>
      <c r="C47" s="23" t="s">
        <v>71</v>
      </c>
      <c r="D47" s="24"/>
      <c r="E47" s="24"/>
      <c r="F47" s="24"/>
      <c r="G47" s="24"/>
      <c r="H47" s="24"/>
      <c r="I47" s="24"/>
      <c r="J47" s="24"/>
      <c r="K47" s="35"/>
      <c r="L47" s="31">
        <v>9</v>
      </c>
      <c r="M47" s="32"/>
      <c r="N47" s="31">
        <v>9</v>
      </c>
      <c r="O47" s="32"/>
      <c r="P47" s="31">
        <v>9</v>
      </c>
      <c r="Q47" s="32"/>
      <c r="R47" s="31">
        <v>7</v>
      </c>
      <c r="S47" s="32"/>
      <c r="T47" s="31">
        <f t="shared" si="0"/>
        <v>1.17540859944682</v>
      </c>
      <c r="U47" s="32"/>
    </row>
    <row r="48" spans="1:21">
      <c r="A48" s="21" t="s">
        <v>72</v>
      </c>
      <c r="B48" s="22"/>
      <c r="C48" s="23" t="s">
        <v>73</v>
      </c>
      <c r="D48" s="24"/>
      <c r="E48" s="24"/>
      <c r="F48" s="24"/>
      <c r="G48" s="24"/>
      <c r="H48" s="24"/>
      <c r="I48" s="24"/>
      <c r="J48" s="24"/>
      <c r="K48" s="35"/>
      <c r="L48" s="31">
        <v>9</v>
      </c>
      <c r="M48" s="32"/>
      <c r="N48" s="31">
        <v>9</v>
      </c>
      <c r="O48" s="32"/>
      <c r="P48" s="31">
        <v>8</v>
      </c>
      <c r="Q48" s="32"/>
      <c r="R48" s="31">
        <v>8</v>
      </c>
      <c r="S48" s="32"/>
      <c r="T48" s="31">
        <f t="shared" si="0"/>
        <v>1.17791796857929</v>
      </c>
      <c r="U48" s="32"/>
    </row>
    <row r="49" spans="1:21">
      <c r="A49" s="14" t="s">
        <v>74</v>
      </c>
      <c r="B49" s="15"/>
      <c r="C49" s="19" t="s">
        <v>75</v>
      </c>
      <c r="D49" s="20"/>
      <c r="E49" s="20"/>
      <c r="F49" s="20"/>
      <c r="G49" s="20"/>
      <c r="H49" s="20"/>
      <c r="I49" s="20"/>
      <c r="J49" s="20"/>
      <c r="K49" s="34"/>
      <c r="L49" s="31">
        <v>9</v>
      </c>
      <c r="M49" s="32"/>
      <c r="N49" s="31">
        <v>9</v>
      </c>
      <c r="O49" s="32"/>
      <c r="P49" s="31">
        <v>8</v>
      </c>
      <c r="Q49" s="32"/>
      <c r="R49" s="31">
        <v>8</v>
      </c>
      <c r="S49" s="32"/>
      <c r="T49" s="31">
        <f t="shared" si="0"/>
        <v>1.17491810998436</v>
      </c>
      <c r="U49" s="32"/>
    </row>
    <row r="50" spans="1:21">
      <c r="A50" s="21" t="s">
        <v>76</v>
      </c>
      <c r="B50" s="22"/>
      <c r="C50" s="23" t="s">
        <v>77</v>
      </c>
      <c r="D50" s="24"/>
      <c r="E50" s="24"/>
      <c r="F50" s="24"/>
      <c r="G50" s="24"/>
      <c r="H50" s="24"/>
      <c r="I50" s="24"/>
      <c r="J50" s="24"/>
      <c r="K50" s="35"/>
      <c r="L50" s="31">
        <v>9</v>
      </c>
      <c r="M50" s="32"/>
      <c r="N50" s="31">
        <v>9</v>
      </c>
      <c r="O50" s="32"/>
      <c r="P50" s="31">
        <v>8</v>
      </c>
      <c r="Q50" s="32"/>
      <c r="R50" s="31">
        <v>8</v>
      </c>
      <c r="S50" s="32"/>
      <c r="T50" s="31">
        <f t="shared" si="0"/>
        <v>1.17165748259861</v>
      </c>
      <c r="U50" s="32"/>
    </row>
    <row r="51" spans="1:21">
      <c r="A51" s="21" t="s">
        <v>78</v>
      </c>
      <c r="B51" s="22"/>
      <c r="C51" s="23" t="s">
        <v>79</v>
      </c>
      <c r="D51" s="24"/>
      <c r="E51" s="24"/>
      <c r="F51" s="24"/>
      <c r="G51" s="24"/>
      <c r="H51" s="24"/>
      <c r="I51" s="24"/>
      <c r="J51" s="24"/>
      <c r="K51" s="35"/>
      <c r="L51" s="31">
        <v>9</v>
      </c>
      <c r="M51" s="32"/>
      <c r="N51" s="31">
        <v>9</v>
      </c>
      <c r="O51" s="32"/>
      <c r="P51" s="31">
        <v>5</v>
      </c>
      <c r="Q51" s="32"/>
      <c r="R51" s="31">
        <v>8</v>
      </c>
      <c r="S51" s="32"/>
      <c r="T51" s="31">
        <f t="shared" si="0"/>
        <v>1.45523431000409</v>
      </c>
      <c r="U51" s="32"/>
    </row>
    <row r="52" spans="1:21">
      <c r="A52" s="14" t="s">
        <v>80</v>
      </c>
      <c r="B52" s="22"/>
      <c r="C52" s="19" t="s">
        <v>81</v>
      </c>
      <c r="D52" s="20"/>
      <c r="E52" s="20"/>
      <c r="F52" s="20"/>
      <c r="G52" s="20"/>
      <c r="H52" s="20"/>
      <c r="I52" s="20"/>
      <c r="J52" s="20"/>
      <c r="K52" s="34"/>
      <c r="L52" s="31">
        <v>9</v>
      </c>
      <c r="M52" s="32"/>
      <c r="N52" s="31">
        <v>9</v>
      </c>
      <c r="O52" s="32"/>
      <c r="P52" s="31">
        <v>8</v>
      </c>
      <c r="Q52" s="32"/>
      <c r="R52" s="31">
        <v>8</v>
      </c>
      <c r="S52" s="32"/>
      <c r="T52" s="31">
        <f t="shared" si="0"/>
        <v>1.17598187311178</v>
      </c>
      <c r="U52" s="32"/>
    </row>
    <row r="53" spans="1:21">
      <c r="A53" s="21" t="s">
        <v>82</v>
      </c>
      <c r="B53" s="22"/>
      <c r="C53" s="23" t="s">
        <v>83</v>
      </c>
      <c r="D53" s="24"/>
      <c r="E53" s="24"/>
      <c r="F53" s="24"/>
      <c r="G53" s="24"/>
      <c r="H53" s="24"/>
      <c r="I53" s="24"/>
      <c r="J53" s="24"/>
      <c r="K53" s="35"/>
      <c r="L53" s="31">
        <v>9</v>
      </c>
      <c r="M53" s="32"/>
      <c r="N53" s="31">
        <v>9</v>
      </c>
      <c r="O53" s="32"/>
      <c r="P53" s="31">
        <v>9</v>
      </c>
      <c r="Q53" s="32"/>
      <c r="R53" s="31">
        <v>9</v>
      </c>
      <c r="S53" s="32"/>
      <c r="T53" s="31">
        <f t="shared" ref="T53:T76" si="1">(1.5*L53+N53)/(SUM(1.5*L53:L114)+SUM(N53:N114))/(((P53/SUM(P53:P114)))+((R53/SUM(R53:R114))))</f>
        <v>1.04206138688897</v>
      </c>
      <c r="U53" s="32"/>
    </row>
    <row r="54" spans="1:21">
      <c r="A54" s="14">
        <v>1.3</v>
      </c>
      <c r="B54" s="15"/>
      <c r="C54" s="17" t="s">
        <v>84</v>
      </c>
      <c r="D54" s="18"/>
      <c r="E54" s="18"/>
      <c r="F54" s="18"/>
      <c r="G54" s="18"/>
      <c r="H54" s="18"/>
      <c r="I54" s="18"/>
      <c r="J54" s="18"/>
      <c r="K54" s="33"/>
      <c r="L54" s="31">
        <v>7</v>
      </c>
      <c r="M54" s="32"/>
      <c r="N54" s="31">
        <v>7</v>
      </c>
      <c r="O54" s="32"/>
      <c r="P54" s="31">
        <v>5</v>
      </c>
      <c r="Q54" s="32"/>
      <c r="R54" s="31">
        <v>7</v>
      </c>
      <c r="S54" s="32"/>
      <c r="T54" s="31">
        <f t="shared" si="1"/>
        <v>1.23424251023245</v>
      </c>
      <c r="U54" s="32"/>
    </row>
    <row r="55" spans="1:21">
      <c r="A55" s="14" t="s">
        <v>85</v>
      </c>
      <c r="B55" s="15"/>
      <c r="C55" s="19" t="s">
        <v>86</v>
      </c>
      <c r="D55" s="20"/>
      <c r="E55" s="20"/>
      <c r="F55" s="20"/>
      <c r="G55" s="20"/>
      <c r="H55" s="20"/>
      <c r="I55" s="20"/>
      <c r="J55" s="20"/>
      <c r="K55" s="34"/>
      <c r="L55" s="31">
        <v>8</v>
      </c>
      <c r="M55" s="32"/>
      <c r="N55" s="31">
        <v>8</v>
      </c>
      <c r="O55" s="32"/>
      <c r="P55" s="31">
        <v>5</v>
      </c>
      <c r="Q55" s="32"/>
      <c r="R55" s="31">
        <v>7</v>
      </c>
      <c r="S55" s="32"/>
      <c r="T55" s="31">
        <f t="shared" si="1"/>
        <v>1.39661666442673</v>
      </c>
      <c r="U55" s="32"/>
    </row>
    <row r="56" spans="1:21">
      <c r="A56" s="14" t="s">
        <v>87</v>
      </c>
      <c r="B56" s="15"/>
      <c r="C56" s="19" t="s">
        <v>88</v>
      </c>
      <c r="D56" s="20"/>
      <c r="E56" s="20"/>
      <c r="F56" s="20"/>
      <c r="G56" s="20"/>
      <c r="H56" s="20"/>
      <c r="I56" s="20"/>
      <c r="J56" s="20"/>
      <c r="K56" s="34"/>
      <c r="L56" s="31">
        <v>7</v>
      </c>
      <c r="M56" s="32"/>
      <c r="N56" s="31">
        <v>7</v>
      </c>
      <c r="O56" s="32"/>
      <c r="P56" s="31">
        <v>6</v>
      </c>
      <c r="Q56" s="32"/>
      <c r="R56" s="31">
        <v>8</v>
      </c>
      <c r="S56" s="32"/>
      <c r="T56" s="31">
        <f t="shared" si="1"/>
        <v>1.06089294443539</v>
      </c>
      <c r="U56" s="32"/>
    </row>
    <row r="57" spans="1:21">
      <c r="A57" s="14" t="s">
        <v>89</v>
      </c>
      <c r="B57" s="15"/>
      <c r="C57" s="19" t="s">
        <v>90</v>
      </c>
      <c r="D57" s="20"/>
      <c r="E57" s="20"/>
      <c r="F57" s="20"/>
      <c r="G57" s="20"/>
      <c r="H57" s="20"/>
      <c r="I57" s="20"/>
      <c r="J57" s="20"/>
      <c r="K57" s="34"/>
      <c r="L57" s="31">
        <v>8</v>
      </c>
      <c r="M57" s="32"/>
      <c r="N57" s="31">
        <v>8</v>
      </c>
      <c r="O57" s="32"/>
      <c r="P57" s="31">
        <v>4</v>
      </c>
      <c r="Q57" s="32"/>
      <c r="R57" s="31">
        <v>3</v>
      </c>
      <c r="S57" s="32"/>
      <c r="T57" s="31">
        <f t="shared" si="1"/>
        <v>2.35722930563765</v>
      </c>
      <c r="U57" s="32"/>
    </row>
    <row r="58" spans="1:21">
      <c r="A58" s="21" t="s">
        <v>91</v>
      </c>
      <c r="B58" s="22"/>
      <c r="C58" s="23" t="s">
        <v>92</v>
      </c>
      <c r="D58" s="24"/>
      <c r="E58" s="24"/>
      <c r="F58" s="24"/>
      <c r="G58" s="24"/>
      <c r="H58" s="24"/>
      <c r="I58" s="24"/>
      <c r="J58" s="24"/>
      <c r="K58" s="35"/>
      <c r="L58" s="31">
        <v>8</v>
      </c>
      <c r="M58" s="32"/>
      <c r="N58" s="31">
        <v>8</v>
      </c>
      <c r="O58" s="32"/>
      <c r="P58" s="31">
        <v>4</v>
      </c>
      <c r="Q58" s="32"/>
      <c r="R58" s="31">
        <v>8</v>
      </c>
      <c r="S58" s="32"/>
      <c r="T58" s="31">
        <f t="shared" si="1"/>
        <v>1.4356749510905</v>
      </c>
      <c r="U58" s="32"/>
    </row>
    <row r="59" spans="1:21">
      <c r="A59" s="14" t="s">
        <v>93</v>
      </c>
      <c r="B59" s="15"/>
      <c r="C59" s="19" t="s">
        <v>94</v>
      </c>
      <c r="D59" s="20"/>
      <c r="E59" s="20"/>
      <c r="F59" s="20"/>
      <c r="G59" s="20"/>
      <c r="H59" s="20"/>
      <c r="I59" s="20"/>
      <c r="J59" s="20"/>
      <c r="K59" s="34"/>
      <c r="L59" s="31">
        <v>8</v>
      </c>
      <c r="M59" s="32"/>
      <c r="N59" s="31">
        <v>8</v>
      </c>
      <c r="O59" s="32"/>
      <c r="P59" s="31">
        <v>8</v>
      </c>
      <c r="Q59" s="32"/>
      <c r="R59" s="31">
        <v>8</v>
      </c>
      <c r="S59" s="32"/>
      <c r="T59" s="31">
        <f t="shared" si="1"/>
        <v>1.07075892857143</v>
      </c>
      <c r="U59" s="32"/>
    </row>
    <row r="60" spans="1:21">
      <c r="A60" s="21" t="s">
        <v>95</v>
      </c>
      <c r="B60" s="22"/>
      <c r="C60" s="23" t="s">
        <v>96</v>
      </c>
      <c r="D60" s="24"/>
      <c r="E60" s="24"/>
      <c r="F60" s="24"/>
      <c r="G60" s="24"/>
      <c r="H60" s="24"/>
      <c r="I60" s="24"/>
      <c r="J60" s="24"/>
      <c r="K60" s="35"/>
      <c r="L60" s="31">
        <v>8</v>
      </c>
      <c r="M60" s="32"/>
      <c r="N60" s="31">
        <v>8</v>
      </c>
      <c r="O60" s="32"/>
      <c r="P60" s="31">
        <v>8</v>
      </c>
      <c r="Q60" s="32"/>
      <c r="R60" s="31">
        <v>8</v>
      </c>
      <c r="S60" s="32"/>
      <c r="T60" s="31">
        <f t="shared" si="1"/>
        <v>1.05984510281385</v>
      </c>
      <c r="U60" s="32"/>
    </row>
    <row r="61" spans="1:21">
      <c r="A61" s="14">
        <v>1.4</v>
      </c>
      <c r="B61" s="15"/>
      <c r="C61" s="17" t="s">
        <v>97</v>
      </c>
      <c r="D61" s="18"/>
      <c r="E61" s="18"/>
      <c r="F61" s="18"/>
      <c r="G61" s="18"/>
      <c r="H61" s="18"/>
      <c r="I61" s="18"/>
      <c r="J61" s="18"/>
      <c r="K61" s="33"/>
      <c r="L61" s="31">
        <v>7</v>
      </c>
      <c r="M61" s="32"/>
      <c r="N61" s="31">
        <v>7</v>
      </c>
      <c r="O61" s="32"/>
      <c r="P61" s="31">
        <v>5</v>
      </c>
      <c r="Q61" s="32"/>
      <c r="R61" s="31">
        <v>4</v>
      </c>
      <c r="S61" s="32"/>
      <c r="T61" s="31">
        <f t="shared" si="1"/>
        <v>1.64415031188194</v>
      </c>
      <c r="U61" s="32"/>
    </row>
    <row r="62" spans="1:21">
      <c r="A62" s="14" t="s">
        <v>98</v>
      </c>
      <c r="B62" s="15"/>
      <c r="C62" s="19" t="s">
        <v>99</v>
      </c>
      <c r="D62" s="20"/>
      <c r="E62" s="20"/>
      <c r="F62" s="20"/>
      <c r="G62" s="20"/>
      <c r="H62" s="20"/>
      <c r="I62" s="20"/>
      <c r="J62" s="20"/>
      <c r="K62" s="34"/>
      <c r="L62" s="31">
        <v>7</v>
      </c>
      <c r="M62" s="32"/>
      <c r="N62" s="31">
        <v>7</v>
      </c>
      <c r="O62" s="32"/>
      <c r="P62" s="31">
        <v>6</v>
      </c>
      <c r="Q62" s="32"/>
      <c r="R62" s="31">
        <v>7</v>
      </c>
      <c r="S62" s="32"/>
      <c r="T62" s="31">
        <f t="shared" si="1"/>
        <v>1.16138125440451</v>
      </c>
      <c r="U62" s="32"/>
    </row>
    <row r="63" spans="1:21">
      <c r="A63" s="14" t="s">
        <v>100</v>
      </c>
      <c r="B63" s="15"/>
      <c r="C63" s="19" t="s">
        <v>101</v>
      </c>
      <c r="D63" s="20"/>
      <c r="E63" s="20"/>
      <c r="F63" s="20"/>
      <c r="G63" s="20"/>
      <c r="H63" s="20"/>
      <c r="I63" s="20"/>
      <c r="J63" s="20"/>
      <c r="K63" s="34"/>
      <c r="L63" s="31">
        <v>7</v>
      </c>
      <c r="M63" s="32"/>
      <c r="N63" s="31">
        <v>7</v>
      </c>
      <c r="O63" s="32"/>
      <c r="P63" s="31">
        <v>6</v>
      </c>
      <c r="Q63" s="32"/>
      <c r="R63" s="31">
        <v>5</v>
      </c>
      <c r="S63" s="32"/>
      <c r="T63" s="31">
        <f t="shared" si="1"/>
        <v>1.35823429541596</v>
      </c>
      <c r="U63" s="32"/>
    </row>
    <row r="64" spans="1:21">
      <c r="A64" s="14" t="s">
        <v>102</v>
      </c>
      <c r="B64" s="15"/>
      <c r="C64" s="19" t="s">
        <v>103</v>
      </c>
      <c r="D64" s="20"/>
      <c r="E64" s="20"/>
      <c r="F64" s="20"/>
      <c r="G64" s="20"/>
      <c r="H64" s="20"/>
      <c r="I64" s="20"/>
      <c r="J64" s="20"/>
      <c r="K64" s="34"/>
      <c r="L64" s="31">
        <v>7</v>
      </c>
      <c r="M64" s="32"/>
      <c r="N64" s="31">
        <v>7</v>
      </c>
      <c r="O64" s="32"/>
      <c r="P64" s="31">
        <v>5</v>
      </c>
      <c r="Q64" s="32"/>
      <c r="R64" s="31">
        <v>6</v>
      </c>
      <c r="S64" s="32"/>
      <c r="T64" s="31">
        <f t="shared" si="1"/>
        <v>1.3742763654669</v>
      </c>
      <c r="U64" s="32"/>
    </row>
    <row r="65" spans="1:21">
      <c r="A65" s="14" t="s">
        <v>104</v>
      </c>
      <c r="B65" s="15"/>
      <c r="C65" s="19" t="s">
        <v>105</v>
      </c>
      <c r="D65" s="20"/>
      <c r="E65" s="20"/>
      <c r="F65" s="20"/>
      <c r="G65" s="20"/>
      <c r="H65" s="20"/>
      <c r="I65" s="20"/>
      <c r="J65" s="20"/>
      <c r="K65" s="34"/>
      <c r="L65" s="31">
        <v>7</v>
      </c>
      <c r="M65" s="32"/>
      <c r="N65" s="31">
        <v>7</v>
      </c>
      <c r="O65" s="32"/>
      <c r="P65" s="31">
        <v>4</v>
      </c>
      <c r="Q65" s="32"/>
      <c r="R65" s="31">
        <v>3</v>
      </c>
      <c r="S65" s="32"/>
      <c r="T65" s="31">
        <f t="shared" si="1"/>
        <v>2.15514474613261</v>
      </c>
      <c r="U65" s="32"/>
    </row>
    <row r="66" spans="1:21">
      <c r="A66" s="14">
        <v>1.5</v>
      </c>
      <c r="B66" s="15"/>
      <c r="C66" s="17" t="s">
        <v>106</v>
      </c>
      <c r="D66" s="18"/>
      <c r="E66" s="18"/>
      <c r="F66" s="18"/>
      <c r="G66" s="18"/>
      <c r="H66" s="18"/>
      <c r="I66" s="18"/>
      <c r="J66" s="18"/>
      <c r="K66" s="33"/>
      <c r="L66" s="31">
        <v>7</v>
      </c>
      <c r="M66" s="32"/>
      <c r="N66" s="31">
        <v>7</v>
      </c>
      <c r="O66" s="32"/>
      <c r="P66" s="31">
        <v>5</v>
      </c>
      <c r="Q66" s="32"/>
      <c r="R66" s="31">
        <v>4</v>
      </c>
      <c r="S66" s="32"/>
      <c r="T66" s="31">
        <f t="shared" si="1"/>
        <v>1.73239436619718</v>
      </c>
      <c r="U66" s="32"/>
    </row>
    <row r="67" spans="1:21">
      <c r="A67" s="14" t="s">
        <v>107</v>
      </c>
      <c r="B67" s="15"/>
      <c r="C67" s="19" t="s">
        <v>108</v>
      </c>
      <c r="D67" s="20"/>
      <c r="E67" s="20"/>
      <c r="F67" s="20"/>
      <c r="G67" s="20"/>
      <c r="H67" s="20"/>
      <c r="I67" s="20"/>
      <c r="J67" s="20"/>
      <c r="K67" s="34"/>
      <c r="L67" s="31">
        <v>7</v>
      </c>
      <c r="M67" s="32"/>
      <c r="N67" s="31">
        <v>7</v>
      </c>
      <c r="O67" s="32"/>
      <c r="P67" s="31">
        <v>8</v>
      </c>
      <c r="Q67" s="32"/>
      <c r="R67" s="31">
        <v>7</v>
      </c>
      <c r="S67" s="32"/>
      <c r="T67" s="31">
        <f t="shared" si="1"/>
        <v>1.06549059402076</v>
      </c>
      <c r="U67" s="32"/>
    </row>
    <row r="68" spans="1:21">
      <c r="A68" s="14" t="s">
        <v>109</v>
      </c>
      <c r="B68" s="15"/>
      <c r="C68" s="19" t="s">
        <v>110</v>
      </c>
      <c r="D68" s="20"/>
      <c r="E68" s="20"/>
      <c r="F68" s="20"/>
      <c r="G68" s="20"/>
      <c r="H68" s="20"/>
      <c r="I68" s="20"/>
      <c r="J68" s="20"/>
      <c r="K68" s="34"/>
      <c r="L68" s="31">
        <v>7</v>
      </c>
      <c r="M68" s="32"/>
      <c r="N68" s="31">
        <v>7</v>
      </c>
      <c r="O68" s="32"/>
      <c r="P68" s="31">
        <v>8</v>
      </c>
      <c r="Q68" s="32"/>
      <c r="R68" s="31">
        <v>7</v>
      </c>
      <c r="S68" s="32"/>
      <c r="T68" s="31">
        <f t="shared" si="1"/>
        <v>1.04600323163197</v>
      </c>
      <c r="U68" s="32"/>
    </row>
    <row r="69" spans="1:21">
      <c r="A69" s="14" t="s">
        <v>111</v>
      </c>
      <c r="B69" s="15"/>
      <c r="C69" s="19" t="s">
        <v>112</v>
      </c>
      <c r="D69" s="20"/>
      <c r="E69" s="20"/>
      <c r="F69" s="20"/>
      <c r="G69" s="20"/>
      <c r="H69" s="20"/>
      <c r="I69" s="20"/>
      <c r="J69" s="20"/>
      <c r="K69" s="34"/>
      <c r="L69" s="31">
        <v>7</v>
      </c>
      <c r="M69" s="32"/>
      <c r="N69" s="31">
        <v>7</v>
      </c>
      <c r="O69" s="32"/>
      <c r="P69" s="31">
        <v>5</v>
      </c>
      <c r="Q69" s="32"/>
      <c r="R69" s="31">
        <v>9</v>
      </c>
      <c r="S69" s="32"/>
      <c r="T69" s="31">
        <f t="shared" si="1"/>
        <v>1.1283792608071</v>
      </c>
      <c r="U69" s="32"/>
    </row>
    <row r="70" spans="1:21">
      <c r="A70" s="14" t="s">
        <v>113</v>
      </c>
      <c r="B70" s="15"/>
      <c r="C70" s="19" t="s">
        <v>114</v>
      </c>
      <c r="D70" s="20"/>
      <c r="E70" s="20"/>
      <c r="F70" s="20"/>
      <c r="G70" s="20"/>
      <c r="H70" s="20"/>
      <c r="I70" s="20"/>
      <c r="J70" s="20"/>
      <c r="K70" s="34"/>
      <c r="L70" s="31">
        <v>7</v>
      </c>
      <c r="M70" s="32"/>
      <c r="N70" s="31">
        <v>7</v>
      </c>
      <c r="O70" s="32"/>
      <c r="P70" s="31">
        <v>8</v>
      </c>
      <c r="Q70" s="32"/>
      <c r="R70" s="31">
        <v>8</v>
      </c>
      <c r="S70" s="32"/>
      <c r="T70" s="31">
        <f t="shared" si="1"/>
        <v>0.952700791855204</v>
      </c>
      <c r="U70" s="32"/>
    </row>
    <row r="71" spans="1:21">
      <c r="A71" s="14" t="s">
        <v>115</v>
      </c>
      <c r="B71" s="15"/>
      <c r="C71" s="19" t="s">
        <v>116</v>
      </c>
      <c r="D71" s="20"/>
      <c r="E71" s="20"/>
      <c r="F71" s="20"/>
      <c r="G71" s="20"/>
      <c r="H71" s="20"/>
      <c r="I71" s="20"/>
      <c r="J71" s="20"/>
      <c r="K71" s="34"/>
      <c r="L71" s="31">
        <v>7</v>
      </c>
      <c r="M71" s="32"/>
      <c r="N71" s="31">
        <v>7</v>
      </c>
      <c r="O71" s="32"/>
      <c r="P71" s="31">
        <v>8</v>
      </c>
      <c r="Q71" s="32"/>
      <c r="R71" s="31">
        <v>9</v>
      </c>
      <c r="S71" s="32"/>
      <c r="T71" s="31">
        <f t="shared" si="1"/>
        <v>0.862192393736018</v>
      </c>
      <c r="U71" s="32"/>
    </row>
    <row r="72" spans="1:21">
      <c r="A72" s="14">
        <v>1.6</v>
      </c>
      <c r="B72" s="15"/>
      <c r="C72" s="17" t="s">
        <v>117</v>
      </c>
      <c r="D72" s="18"/>
      <c r="E72" s="18"/>
      <c r="F72" s="18"/>
      <c r="G72" s="18"/>
      <c r="H72" s="18"/>
      <c r="I72" s="18"/>
      <c r="J72" s="18"/>
      <c r="K72" s="33"/>
      <c r="L72" s="31">
        <v>7</v>
      </c>
      <c r="M72" s="32"/>
      <c r="N72" s="31">
        <v>7</v>
      </c>
      <c r="O72" s="32"/>
      <c r="P72" s="31">
        <v>6</v>
      </c>
      <c r="Q72" s="32"/>
      <c r="R72" s="31">
        <v>7</v>
      </c>
      <c r="S72" s="32"/>
      <c r="T72" s="31">
        <f t="shared" si="1"/>
        <v>1.0507792860734</v>
      </c>
      <c r="U72" s="32"/>
    </row>
    <row r="73" spans="1:21">
      <c r="A73" s="14" t="s">
        <v>118</v>
      </c>
      <c r="B73" s="15"/>
      <c r="C73" s="19" t="s">
        <v>119</v>
      </c>
      <c r="D73" s="20"/>
      <c r="E73" s="20"/>
      <c r="F73" s="20"/>
      <c r="G73" s="20"/>
      <c r="H73" s="20"/>
      <c r="I73" s="20"/>
      <c r="J73" s="20"/>
      <c r="K73" s="34"/>
      <c r="L73" s="31">
        <v>7</v>
      </c>
      <c r="M73" s="32"/>
      <c r="N73" s="31">
        <v>7</v>
      </c>
      <c r="O73" s="32"/>
      <c r="P73" s="31">
        <v>7</v>
      </c>
      <c r="Q73" s="32"/>
      <c r="R73" s="31">
        <v>8</v>
      </c>
      <c r="S73" s="32"/>
      <c r="T73" s="31">
        <f t="shared" si="1"/>
        <v>0.878647910980474</v>
      </c>
      <c r="U73" s="32"/>
    </row>
    <row r="74" spans="1:21">
      <c r="A74" s="14" t="s">
        <v>120</v>
      </c>
      <c r="B74" s="15"/>
      <c r="C74" s="19" t="s">
        <v>121</v>
      </c>
      <c r="D74" s="20"/>
      <c r="E74" s="20"/>
      <c r="F74" s="20"/>
      <c r="G74" s="20"/>
      <c r="H74" s="20"/>
      <c r="I74" s="20"/>
      <c r="J74" s="20"/>
      <c r="K74" s="34"/>
      <c r="L74" s="31">
        <v>7</v>
      </c>
      <c r="M74" s="32"/>
      <c r="N74" s="31">
        <v>7</v>
      </c>
      <c r="O74" s="32"/>
      <c r="P74" s="31">
        <v>6</v>
      </c>
      <c r="Q74" s="32"/>
      <c r="R74" s="31">
        <v>8</v>
      </c>
      <c r="S74" s="32"/>
      <c r="T74" s="31">
        <f t="shared" si="1"/>
        <v>0.857568978374348</v>
      </c>
      <c r="U74" s="32"/>
    </row>
    <row r="75" spans="1:21">
      <c r="A75" s="21" t="s">
        <v>122</v>
      </c>
      <c r="B75" s="22"/>
      <c r="C75" s="23" t="s">
        <v>123</v>
      </c>
      <c r="D75" s="24"/>
      <c r="E75" s="24"/>
      <c r="F75" s="24"/>
      <c r="G75" s="24"/>
      <c r="H75" s="24"/>
      <c r="I75" s="24"/>
      <c r="J75" s="24"/>
      <c r="K75" s="35"/>
      <c r="L75" s="31">
        <v>7</v>
      </c>
      <c r="M75" s="32"/>
      <c r="N75" s="31">
        <v>7</v>
      </c>
      <c r="O75" s="32"/>
      <c r="P75" s="31">
        <v>6</v>
      </c>
      <c r="Q75" s="32"/>
      <c r="R75" s="31">
        <v>8</v>
      </c>
      <c r="S75" s="32"/>
      <c r="T75" s="31">
        <f t="shared" si="1"/>
        <v>0.742574257425743</v>
      </c>
      <c r="U75" s="32"/>
    </row>
    <row r="76" spans="1:21">
      <c r="A76" s="21" t="s">
        <v>124</v>
      </c>
      <c r="B76" s="22"/>
      <c r="C76" s="23" t="s">
        <v>125</v>
      </c>
      <c r="D76" s="24"/>
      <c r="E76" s="24"/>
      <c r="F76" s="24"/>
      <c r="G76" s="24"/>
      <c r="H76" s="24"/>
      <c r="I76" s="24"/>
      <c r="J76" s="24"/>
      <c r="K76" s="35"/>
      <c r="L76" s="31">
        <v>7</v>
      </c>
      <c r="M76" s="32"/>
      <c r="N76" s="31">
        <v>7</v>
      </c>
      <c r="O76" s="32"/>
      <c r="P76" s="31">
        <v>8</v>
      </c>
      <c r="Q76" s="32"/>
      <c r="R76" s="31">
        <v>7</v>
      </c>
      <c r="S76" s="32"/>
      <c r="T76" s="31">
        <f t="shared" si="1"/>
        <v>0.5</v>
      </c>
      <c r="U76" s="32"/>
    </row>
    <row r="77" spans="1:21">
      <c r="A77" s="21"/>
      <c r="B77" s="22"/>
      <c r="C77" s="21"/>
      <c r="D77" s="38"/>
      <c r="E77" s="38"/>
      <c r="F77" s="38"/>
      <c r="G77" s="38"/>
      <c r="H77" s="38"/>
      <c r="I77" s="38"/>
      <c r="J77" s="38"/>
      <c r="K77" s="22"/>
      <c r="L77" s="31"/>
      <c r="M77" s="32"/>
      <c r="N77" s="31"/>
      <c r="O77" s="32"/>
      <c r="P77" s="31"/>
      <c r="Q77" s="32"/>
      <c r="R77" s="31"/>
      <c r="S77" s="32"/>
      <c r="T77" s="31"/>
      <c r="U77" s="32"/>
    </row>
    <row r="78" spans="1:21">
      <c r="A78" s="21"/>
      <c r="B78" s="22"/>
      <c r="C78" s="21"/>
      <c r="D78" s="38"/>
      <c r="E78" s="38"/>
      <c r="F78" s="38"/>
      <c r="G78" s="38"/>
      <c r="H78" s="38"/>
      <c r="I78" s="38"/>
      <c r="J78" s="38"/>
      <c r="K78" s="22"/>
      <c r="L78" s="31"/>
      <c r="M78" s="32"/>
      <c r="N78" s="31"/>
      <c r="O78" s="32"/>
      <c r="P78" s="31"/>
      <c r="Q78" s="32"/>
      <c r="R78" s="31"/>
      <c r="S78" s="32"/>
      <c r="T78" s="31"/>
      <c r="U78" s="32"/>
    </row>
    <row r="79" spans="16:21">
      <c r="P79" s="31"/>
      <c r="Q79" s="32"/>
      <c r="R79" s="31"/>
      <c r="S79" s="32"/>
      <c r="T79" s="31"/>
      <c r="U79" s="32"/>
    </row>
    <row r="80" spans="16:21">
      <c r="P80" s="31"/>
      <c r="Q80" s="32"/>
      <c r="R80" s="31"/>
      <c r="S80" s="32"/>
      <c r="T80" s="31"/>
      <c r="U80" s="32"/>
    </row>
    <row r="81" spans="16:21">
      <c r="P81" s="31"/>
      <c r="Q81" s="32"/>
      <c r="R81" s="31"/>
      <c r="S81" s="32"/>
      <c r="T81" s="31"/>
      <c r="U81" s="32"/>
    </row>
  </sheetData>
  <mergeCells count="455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U16"/>
    <mergeCell ref="A17:B17"/>
    <mergeCell ref="C17:K17"/>
    <mergeCell ref="L17:M17"/>
    <mergeCell ref="N17:O17"/>
    <mergeCell ref="P17:Q17"/>
    <mergeCell ref="R17:S17"/>
    <mergeCell ref="T17:U17"/>
    <mergeCell ref="A18:B18"/>
    <mergeCell ref="C18:K18"/>
    <mergeCell ref="L18:M18"/>
    <mergeCell ref="N18:O18"/>
    <mergeCell ref="P18:Q18"/>
    <mergeCell ref="R18:S18"/>
    <mergeCell ref="T18:U18"/>
    <mergeCell ref="A19:B19"/>
    <mergeCell ref="C19:K19"/>
    <mergeCell ref="L19:M19"/>
    <mergeCell ref="N19:O19"/>
    <mergeCell ref="P19:Q19"/>
    <mergeCell ref="R19:S19"/>
    <mergeCell ref="T19:U19"/>
    <mergeCell ref="A20:B20"/>
    <mergeCell ref="C20:K20"/>
    <mergeCell ref="L20:M20"/>
    <mergeCell ref="N20:O20"/>
    <mergeCell ref="P20:Q20"/>
    <mergeCell ref="R20:S20"/>
    <mergeCell ref="T20:U20"/>
    <mergeCell ref="A21:B21"/>
    <mergeCell ref="C21:K21"/>
    <mergeCell ref="L21:M21"/>
    <mergeCell ref="N21:O21"/>
    <mergeCell ref="P21:Q21"/>
    <mergeCell ref="R21:S21"/>
    <mergeCell ref="T21:U21"/>
    <mergeCell ref="A22:B22"/>
    <mergeCell ref="C22:K22"/>
    <mergeCell ref="L22:M22"/>
    <mergeCell ref="N22:O22"/>
    <mergeCell ref="P22:Q22"/>
    <mergeCell ref="R22:S22"/>
    <mergeCell ref="T22:U22"/>
    <mergeCell ref="A23:B23"/>
    <mergeCell ref="C23:K23"/>
    <mergeCell ref="L23:M23"/>
    <mergeCell ref="N23:O23"/>
    <mergeCell ref="P23:Q23"/>
    <mergeCell ref="R23:S23"/>
    <mergeCell ref="T23:U23"/>
    <mergeCell ref="A24:B24"/>
    <mergeCell ref="C24:K24"/>
    <mergeCell ref="L24:M24"/>
    <mergeCell ref="N24:O24"/>
    <mergeCell ref="P24:Q24"/>
    <mergeCell ref="R24:S24"/>
    <mergeCell ref="T24:U24"/>
    <mergeCell ref="A25:B25"/>
    <mergeCell ref="C25:K25"/>
    <mergeCell ref="L25:M25"/>
    <mergeCell ref="N25:O25"/>
    <mergeCell ref="P25:Q25"/>
    <mergeCell ref="R25:S25"/>
    <mergeCell ref="T25:U25"/>
    <mergeCell ref="A26:B26"/>
    <mergeCell ref="C26:K26"/>
    <mergeCell ref="L26:M26"/>
    <mergeCell ref="N26:O26"/>
    <mergeCell ref="P26:Q26"/>
    <mergeCell ref="R26:S26"/>
    <mergeCell ref="T26:U26"/>
    <mergeCell ref="A27:B27"/>
    <mergeCell ref="C27:K27"/>
    <mergeCell ref="L27:M27"/>
    <mergeCell ref="N27:O27"/>
    <mergeCell ref="P27:Q27"/>
    <mergeCell ref="R27:S27"/>
    <mergeCell ref="T27:U27"/>
    <mergeCell ref="A28:B28"/>
    <mergeCell ref="C28:K28"/>
    <mergeCell ref="L28:M28"/>
    <mergeCell ref="N28:O28"/>
    <mergeCell ref="P28:Q28"/>
    <mergeCell ref="R28:S28"/>
    <mergeCell ref="T28:U28"/>
    <mergeCell ref="A29:B29"/>
    <mergeCell ref="C29:K29"/>
    <mergeCell ref="L29:M29"/>
    <mergeCell ref="N29:O29"/>
    <mergeCell ref="P29:Q29"/>
    <mergeCell ref="R29:S29"/>
    <mergeCell ref="T29:U29"/>
    <mergeCell ref="A30:B30"/>
    <mergeCell ref="C30:K30"/>
    <mergeCell ref="L30:M30"/>
    <mergeCell ref="N30:O30"/>
    <mergeCell ref="P30:Q30"/>
    <mergeCell ref="R30:S30"/>
    <mergeCell ref="T30:U30"/>
    <mergeCell ref="A31:B31"/>
    <mergeCell ref="C31:K31"/>
    <mergeCell ref="L31:M31"/>
    <mergeCell ref="N31:O31"/>
    <mergeCell ref="P31:Q31"/>
    <mergeCell ref="R31:S31"/>
    <mergeCell ref="T31:U31"/>
    <mergeCell ref="A32:B32"/>
    <mergeCell ref="C32:K32"/>
    <mergeCell ref="L32:M32"/>
    <mergeCell ref="N32:O32"/>
    <mergeCell ref="P32:Q32"/>
    <mergeCell ref="R32:S32"/>
    <mergeCell ref="T32:U32"/>
    <mergeCell ref="A33:B33"/>
    <mergeCell ref="C33:K33"/>
    <mergeCell ref="L33:M33"/>
    <mergeCell ref="N33:O33"/>
    <mergeCell ref="P33:Q33"/>
    <mergeCell ref="R33:S33"/>
    <mergeCell ref="T33:U33"/>
    <mergeCell ref="A34:B34"/>
    <mergeCell ref="C34:K34"/>
    <mergeCell ref="L34:M34"/>
    <mergeCell ref="N34:O34"/>
    <mergeCell ref="P34:Q34"/>
    <mergeCell ref="R34:S34"/>
    <mergeCell ref="T34:U34"/>
    <mergeCell ref="A35:B35"/>
    <mergeCell ref="C35:K35"/>
    <mergeCell ref="L35:M35"/>
    <mergeCell ref="N35:O35"/>
    <mergeCell ref="P35:Q35"/>
    <mergeCell ref="R35:S35"/>
    <mergeCell ref="T35:U35"/>
    <mergeCell ref="A36:B36"/>
    <mergeCell ref="C36:K36"/>
    <mergeCell ref="L36:M36"/>
    <mergeCell ref="N36:O36"/>
    <mergeCell ref="P36:Q36"/>
    <mergeCell ref="R36:S36"/>
    <mergeCell ref="T36:U36"/>
    <mergeCell ref="A37:B37"/>
    <mergeCell ref="C37:K37"/>
    <mergeCell ref="L37:M37"/>
    <mergeCell ref="N37:O37"/>
    <mergeCell ref="P37:Q37"/>
    <mergeCell ref="R37:S37"/>
    <mergeCell ref="T37:U37"/>
    <mergeCell ref="A38:B38"/>
    <mergeCell ref="C38:K38"/>
    <mergeCell ref="L38:M38"/>
    <mergeCell ref="N38:O38"/>
    <mergeCell ref="P38:Q38"/>
    <mergeCell ref="R38:S38"/>
    <mergeCell ref="T38:U38"/>
    <mergeCell ref="A39:B39"/>
    <mergeCell ref="C39:K39"/>
    <mergeCell ref="L39:M39"/>
    <mergeCell ref="N39:O39"/>
    <mergeCell ref="P39:Q39"/>
    <mergeCell ref="R39:S39"/>
    <mergeCell ref="T39:U39"/>
    <mergeCell ref="A40:B40"/>
    <mergeCell ref="C40:K40"/>
    <mergeCell ref="L40:M40"/>
    <mergeCell ref="N40:O40"/>
    <mergeCell ref="P40:Q40"/>
    <mergeCell ref="R40:S40"/>
    <mergeCell ref="T40:U40"/>
    <mergeCell ref="A41:B41"/>
    <mergeCell ref="C41:K41"/>
    <mergeCell ref="L41:M41"/>
    <mergeCell ref="N41:O41"/>
    <mergeCell ref="P41:Q41"/>
    <mergeCell ref="R41:S41"/>
    <mergeCell ref="T41:U41"/>
    <mergeCell ref="A42:B42"/>
    <mergeCell ref="C42:K42"/>
    <mergeCell ref="L42:M42"/>
    <mergeCell ref="N42:O42"/>
    <mergeCell ref="P42:Q42"/>
    <mergeCell ref="R42:S42"/>
    <mergeCell ref="T42:U42"/>
    <mergeCell ref="A43:B43"/>
    <mergeCell ref="C43:K43"/>
    <mergeCell ref="L43:M43"/>
    <mergeCell ref="N43:O43"/>
    <mergeCell ref="P43:Q43"/>
    <mergeCell ref="R43:S43"/>
    <mergeCell ref="T43:U43"/>
    <mergeCell ref="A44:B44"/>
    <mergeCell ref="C44:K44"/>
    <mergeCell ref="L44:M44"/>
    <mergeCell ref="N44:O44"/>
    <mergeCell ref="P44:Q44"/>
    <mergeCell ref="R44:S44"/>
    <mergeCell ref="T44:U44"/>
    <mergeCell ref="A45:B45"/>
    <mergeCell ref="C45:K45"/>
    <mergeCell ref="L45:M45"/>
    <mergeCell ref="N45:O45"/>
    <mergeCell ref="P45:Q45"/>
    <mergeCell ref="R45:S45"/>
    <mergeCell ref="T45:U45"/>
    <mergeCell ref="A46:B46"/>
    <mergeCell ref="C46:K46"/>
    <mergeCell ref="L46:M46"/>
    <mergeCell ref="N46:O46"/>
    <mergeCell ref="P46:Q46"/>
    <mergeCell ref="R46:S46"/>
    <mergeCell ref="T46:U46"/>
    <mergeCell ref="A47:B47"/>
    <mergeCell ref="C47:K47"/>
    <mergeCell ref="L47:M47"/>
    <mergeCell ref="N47:O47"/>
    <mergeCell ref="P47:Q47"/>
    <mergeCell ref="R47:S47"/>
    <mergeCell ref="T47:U47"/>
    <mergeCell ref="A48:B48"/>
    <mergeCell ref="C48:K48"/>
    <mergeCell ref="L48:M48"/>
    <mergeCell ref="N48:O48"/>
    <mergeCell ref="P48:Q48"/>
    <mergeCell ref="R48:S48"/>
    <mergeCell ref="T48:U48"/>
    <mergeCell ref="A49:B49"/>
    <mergeCell ref="C49:K49"/>
    <mergeCell ref="L49:M49"/>
    <mergeCell ref="N49:O49"/>
    <mergeCell ref="P49:Q49"/>
    <mergeCell ref="R49:S49"/>
    <mergeCell ref="T49:U49"/>
    <mergeCell ref="A50:B50"/>
    <mergeCell ref="C50:K50"/>
    <mergeCell ref="L50:M50"/>
    <mergeCell ref="N50:O50"/>
    <mergeCell ref="P50:Q50"/>
    <mergeCell ref="R50:S50"/>
    <mergeCell ref="T50:U50"/>
    <mergeCell ref="A51:B51"/>
    <mergeCell ref="C51:K51"/>
    <mergeCell ref="L51:M51"/>
    <mergeCell ref="N51:O51"/>
    <mergeCell ref="P51:Q51"/>
    <mergeCell ref="R51:S51"/>
    <mergeCell ref="T51:U51"/>
    <mergeCell ref="C52:K52"/>
    <mergeCell ref="L52:M52"/>
    <mergeCell ref="N52:O52"/>
    <mergeCell ref="P52:Q52"/>
    <mergeCell ref="R52:S52"/>
    <mergeCell ref="T52:U52"/>
    <mergeCell ref="A53:B53"/>
    <mergeCell ref="C53:K53"/>
    <mergeCell ref="L53:M53"/>
    <mergeCell ref="N53:O53"/>
    <mergeCell ref="P53:Q53"/>
    <mergeCell ref="R53:S53"/>
    <mergeCell ref="T53:U53"/>
    <mergeCell ref="A54:B54"/>
    <mergeCell ref="C54:K54"/>
    <mergeCell ref="L54:M54"/>
    <mergeCell ref="N54:O54"/>
    <mergeCell ref="P54:Q54"/>
    <mergeCell ref="R54:S54"/>
    <mergeCell ref="T54:U54"/>
    <mergeCell ref="A55:B55"/>
    <mergeCell ref="C55:K55"/>
    <mergeCell ref="L55:M55"/>
    <mergeCell ref="N55:O55"/>
    <mergeCell ref="P55:Q55"/>
    <mergeCell ref="R55:S55"/>
    <mergeCell ref="T55:U55"/>
    <mergeCell ref="A56:B56"/>
    <mergeCell ref="C56:K56"/>
    <mergeCell ref="L56:M56"/>
    <mergeCell ref="N56:O56"/>
    <mergeCell ref="P56:Q56"/>
    <mergeCell ref="R56:S56"/>
    <mergeCell ref="T56:U56"/>
    <mergeCell ref="A57:B57"/>
    <mergeCell ref="C57:K57"/>
    <mergeCell ref="L57:M57"/>
    <mergeCell ref="N57:O57"/>
    <mergeCell ref="P57:Q57"/>
    <mergeCell ref="R57:S57"/>
    <mergeCell ref="T57:U57"/>
    <mergeCell ref="A58:B58"/>
    <mergeCell ref="C58:K58"/>
    <mergeCell ref="L58:M58"/>
    <mergeCell ref="N58:O58"/>
    <mergeCell ref="P58:Q58"/>
    <mergeCell ref="R58:S58"/>
    <mergeCell ref="T58:U58"/>
    <mergeCell ref="A59:B59"/>
    <mergeCell ref="C59:K59"/>
    <mergeCell ref="L59:M59"/>
    <mergeCell ref="N59:O59"/>
    <mergeCell ref="P59:Q59"/>
    <mergeCell ref="R59:S59"/>
    <mergeCell ref="T59:U59"/>
    <mergeCell ref="A60:B60"/>
    <mergeCell ref="C60:K60"/>
    <mergeCell ref="L60:M60"/>
    <mergeCell ref="N60:O60"/>
    <mergeCell ref="P60:Q60"/>
    <mergeCell ref="R60:S60"/>
    <mergeCell ref="T60:U60"/>
    <mergeCell ref="A61:B61"/>
    <mergeCell ref="C61:K61"/>
    <mergeCell ref="L61:M61"/>
    <mergeCell ref="N61:O61"/>
    <mergeCell ref="P61:Q61"/>
    <mergeCell ref="R61:S61"/>
    <mergeCell ref="T61:U61"/>
    <mergeCell ref="A62:B62"/>
    <mergeCell ref="C62:K62"/>
    <mergeCell ref="L62:M62"/>
    <mergeCell ref="N62:O62"/>
    <mergeCell ref="P62:Q62"/>
    <mergeCell ref="R62:S62"/>
    <mergeCell ref="T62:U62"/>
    <mergeCell ref="A63:B63"/>
    <mergeCell ref="C63:K63"/>
    <mergeCell ref="L63:M63"/>
    <mergeCell ref="N63:O63"/>
    <mergeCell ref="P63:Q63"/>
    <mergeCell ref="R63:S63"/>
    <mergeCell ref="T63:U63"/>
    <mergeCell ref="A64:B64"/>
    <mergeCell ref="C64:K64"/>
    <mergeCell ref="L64:M64"/>
    <mergeCell ref="N64:O64"/>
    <mergeCell ref="P64:Q64"/>
    <mergeCell ref="R64:S64"/>
    <mergeCell ref="T64:U64"/>
    <mergeCell ref="A65:B65"/>
    <mergeCell ref="C65:K65"/>
    <mergeCell ref="L65:M65"/>
    <mergeCell ref="N65:O65"/>
    <mergeCell ref="P65:Q65"/>
    <mergeCell ref="R65:S65"/>
    <mergeCell ref="T65:U65"/>
    <mergeCell ref="A66:B66"/>
    <mergeCell ref="C66:K66"/>
    <mergeCell ref="L66:M66"/>
    <mergeCell ref="N66:O66"/>
    <mergeCell ref="P66:Q66"/>
    <mergeCell ref="R66:S66"/>
    <mergeCell ref="T66:U66"/>
    <mergeCell ref="A67:B67"/>
    <mergeCell ref="C67:K67"/>
    <mergeCell ref="L67:M67"/>
    <mergeCell ref="N67:O67"/>
    <mergeCell ref="P67:Q67"/>
    <mergeCell ref="R67:S67"/>
    <mergeCell ref="T67:U67"/>
    <mergeCell ref="A68:B68"/>
    <mergeCell ref="C68:K68"/>
    <mergeCell ref="L68:M68"/>
    <mergeCell ref="N68:O68"/>
    <mergeCell ref="P68:Q68"/>
    <mergeCell ref="R68:S68"/>
    <mergeCell ref="T68:U68"/>
    <mergeCell ref="A69:B69"/>
    <mergeCell ref="C69:K69"/>
    <mergeCell ref="L69:M69"/>
    <mergeCell ref="N69:O69"/>
    <mergeCell ref="P69:Q69"/>
    <mergeCell ref="R69:S69"/>
    <mergeCell ref="T69:U69"/>
    <mergeCell ref="A70:B70"/>
    <mergeCell ref="C70:K70"/>
    <mergeCell ref="L70:M70"/>
    <mergeCell ref="N70:O70"/>
    <mergeCell ref="P70:Q70"/>
    <mergeCell ref="R70:S70"/>
    <mergeCell ref="T70:U70"/>
    <mergeCell ref="A71:B71"/>
    <mergeCell ref="C71:K71"/>
    <mergeCell ref="L71:M71"/>
    <mergeCell ref="N71:O71"/>
    <mergeCell ref="P71:Q71"/>
    <mergeCell ref="R71:S71"/>
    <mergeCell ref="T71:U71"/>
    <mergeCell ref="A72:B72"/>
    <mergeCell ref="C72:K72"/>
    <mergeCell ref="L72:M72"/>
    <mergeCell ref="N72:O72"/>
    <mergeCell ref="P72:Q72"/>
    <mergeCell ref="R72:S72"/>
    <mergeCell ref="T72:U72"/>
    <mergeCell ref="A73:B73"/>
    <mergeCell ref="C73:K73"/>
    <mergeCell ref="L73:M73"/>
    <mergeCell ref="N73:O73"/>
    <mergeCell ref="P73:Q73"/>
    <mergeCell ref="R73:S73"/>
    <mergeCell ref="T73:U73"/>
    <mergeCell ref="A74:B74"/>
    <mergeCell ref="C74:K74"/>
    <mergeCell ref="L74:M74"/>
    <mergeCell ref="N74:O74"/>
    <mergeCell ref="P74:Q74"/>
    <mergeCell ref="R74:S74"/>
    <mergeCell ref="T74:U74"/>
    <mergeCell ref="A75:B75"/>
    <mergeCell ref="C75:K75"/>
    <mergeCell ref="L75:M75"/>
    <mergeCell ref="N75:O75"/>
    <mergeCell ref="P75:Q75"/>
    <mergeCell ref="R75:S75"/>
    <mergeCell ref="T75:U75"/>
    <mergeCell ref="A76:B76"/>
    <mergeCell ref="C76:K76"/>
    <mergeCell ref="L76:M76"/>
    <mergeCell ref="N76:O76"/>
    <mergeCell ref="P76:Q76"/>
    <mergeCell ref="R76:S76"/>
    <mergeCell ref="T76:U76"/>
    <mergeCell ref="A77:B77"/>
    <mergeCell ref="C77:K77"/>
    <mergeCell ref="L77:M77"/>
    <mergeCell ref="N77:O77"/>
    <mergeCell ref="P77:Q77"/>
    <mergeCell ref="R77:S77"/>
    <mergeCell ref="T77:U77"/>
    <mergeCell ref="A78:B78"/>
    <mergeCell ref="C78:K78"/>
    <mergeCell ref="L78:M78"/>
    <mergeCell ref="N78:O78"/>
    <mergeCell ref="P78:Q78"/>
    <mergeCell ref="R78:S78"/>
    <mergeCell ref="T78:U78"/>
    <mergeCell ref="P79:Q79"/>
    <mergeCell ref="R79:S79"/>
    <mergeCell ref="T79:U79"/>
    <mergeCell ref="P80:Q80"/>
    <mergeCell ref="R80:S80"/>
    <mergeCell ref="T80:U80"/>
    <mergeCell ref="P81:Q81"/>
    <mergeCell ref="R81:S81"/>
    <mergeCell ref="T81:U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Cozy</cp:lastModifiedBy>
  <dcterms:created xsi:type="dcterms:W3CDTF">2021-04-21T05:32:00Z</dcterms:created>
  <dcterms:modified xsi:type="dcterms:W3CDTF">2021-05-28T06:32:58Z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FB7E59A4C35A414D83612AFD349C6846</vt:lpwstr>
  </property>
</Properties>
</file>